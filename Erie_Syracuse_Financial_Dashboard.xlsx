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 Efficiency Analyzer" sheetId="1" state="visible" r:id="rId3"/>
    <sheet name="Summary" sheetId="2" state="visible" r:id="rId4"/>
    <sheet name="P&amp;L Comparison" sheetId="3" state="visible" r:id="rId5"/>
    <sheet name="Balance Sheet" sheetId="4" state="visible" r:id="rId6"/>
    <sheet name="Cash Flow — Eri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<sst xmlns="http://schemas.openxmlformats.org/spreadsheetml/2006/main" count="365" uniqueCount="292">
  <si>
    <t xml:space="preserve">AI Efficiency Analyzer</t>
  </si>
  <si>
    <t xml:space="preserve">Five Iron Golf  |  Erie &amp; Syracuse  |  Powered by QuickBooks Benchmarks  |  Generated March 28, 2026</t>
  </si>
  <si>
    <t xml:space="preserve">INDUSTRY BENCHMARK SCORECARD</t>
  </si>
  <si>
    <t xml:space="preserve">Metric</t>
  </si>
  <si>
    <t xml:space="preserve">Erie Actual</t>
  </si>
  <si>
    <t xml:space="preserve">Erie Benchmark</t>
  </si>
  <si>
    <t xml:space="preserve">Erie vs Peers</t>
  </si>
  <si>
    <t xml:space="preserve">SYR Actual</t>
  </si>
  <si>
    <t xml:space="preserve">SYR Benchmark</t>
  </si>
  <si>
    <t xml:space="preserve">SYR vs Peers</t>
  </si>
  <si>
    <t xml:space="preserve">Net Profit (annualized)</t>
  </si>
  <si>
    <t xml:space="preserve">Above Avg +507%</t>
  </si>
  <si>
    <t xml:space="preserve">Above Avg +868%</t>
  </si>
  <si>
    <t xml:space="preserve">NOI Margin %</t>
  </si>
  <si>
    <t xml:space="preserve">Above Target</t>
  </si>
  <si>
    <t xml:space="preserve">Food COGS % Food Revenue</t>
  </si>
  <si>
    <t xml:space="preserve">HIGH - Action!</t>
  </si>
  <si>
    <t xml:space="preserve">N/A</t>
  </si>
  <si>
    <t xml:space="preserve">Bev COGS % Bev Revenue</t>
  </si>
  <si>
    <t xml:space="preserve">Watch</t>
  </si>
  <si>
    <t xml:space="preserve">Labor % of Revenue</t>
  </si>
  <si>
    <t xml:space="preserve">Efficient</t>
  </si>
  <si>
    <t xml:space="preserve">Very Low</t>
  </si>
  <si>
    <t xml:space="preserve">Marketing % of Revenue</t>
  </si>
  <si>
    <t xml:space="preserve">On Target</t>
  </si>
  <si>
    <t xml:space="preserve">Merchant Fees % Revenue</t>
  </si>
  <si>
    <t xml:space="preserve">Slightly High</t>
  </si>
  <si>
    <t xml:space="preserve">Good</t>
  </si>
  <si>
    <t xml:space="preserve">Account Comps % Revenue</t>
  </si>
  <si>
    <t xml:space="preserve">Lean</t>
  </si>
  <si>
    <t xml:space="preserve">EFFICIENCY OPPORTUNITIES - RANKED BY NOI IMPACT</t>
  </si>
  <si>
    <t xml:space="preserve">#</t>
  </si>
  <si>
    <t xml:space="preserve">Opportunity</t>
  </si>
  <si>
    <t xml:space="preserve">Location</t>
  </si>
  <si>
    <t xml:space="preserve">Category</t>
  </si>
  <si>
    <t xml:space="preserve">Est. NOI Impact</t>
  </si>
  <si>
    <t xml:space="preserve">Priority</t>
  </si>
  <si>
    <t xml:space="preserve">Recommended Action</t>
  </si>
  <si>
    <t xml:space="preserve">Food COGS Reduction</t>
  </si>
  <si>
    <t xml:space="preserve">Erie</t>
  </si>
  <si>
    <t xml:space="preserve">COGS Control</t>
  </si>
  <si>
    <t xml:space="preserve">$33K - $40K</t>
  </si>
  <si>
    <t xml:space="preserve">CRITICAL</t>
  </si>
  <si>
    <t xml:space="preserve">Food cost is 55% of food revenue vs. 30-35% industry standard. Conduct menu cost analysis, review supplier pricing quarterly, tighten portion controls and reduce waste. A 10-pt reduction alone saves ~$19K over 5 months.</t>
  </si>
  <si>
    <t xml:space="preserve">Account Comps Policy</t>
  </si>
  <si>
    <t xml:space="preserve">Syracuse</t>
  </si>
  <si>
    <t xml:space="preserve">Revenue Leakage</t>
  </si>
  <si>
    <t xml:space="preserve">$15K - $18K</t>
  </si>
  <si>
    <t xml:space="preserve">Comps at 11.7% of SYR revenue vs. Erie's 1.2%. Establish formal comp policy with approval thresholds. Track comp reasons and set a monthly comp budget not to exceed 2-3% of revenue.</t>
  </si>
  <si>
    <t xml:space="preserve">F&amp;B COGS / Revenue Mismatch</t>
  </si>
  <si>
    <t xml:space="preserve">Accounting Review</t>
  </si>
  <si>
    <t xml:space="preserve">$20K - $50K</t>
  </si>
  <si>
    <t xml:space="preserve">F&amp;B COGS of $49,741 on $1,723 of F&amp;B revenue = 2,886% ratio. Likely opening inventory expensed vs. capitalized. Reclassify to Balance Sheet and reconcile immediately - this is a quick win.</t>
  </si>
  <si>
    <t xml:space="preserve">Merchant Fee Consolidation</t>
  </si>
  <si>
    <t xml:space="preserve">Vendor Optimization</t>
  </si>
  <si>
    <t xml:space="preserve">$4K - $7K</t>
  </si>
  <si>
    <t xml:space="preserve">MEDIUM</t>
  </si>
  <si>
    <t xml:space="preserve">Mindbody ($5.2K) + Square ($9.1K) + TripleSeat ($9.0K) = $23.9K over 5 months across 3 platforms. Evaluate consolidation. Renegotiate Square rates (target &lt;2.5%). Potential 20-30% reduction.</t>
  </si>
  <si>
    <t xml:space="preserve">Outside Consultant Review</t>
  </si>
  <si>
    <t xml:space="preserve">Overhead Review</t>
  </si>
  <si>
    <t xml:space="preserve">$4K - $9K</t>
  </si>
  <si>
    <t xml:space="preserve">$17,987 in consultant fees over 5 months ($43K annualized). Itemize each engagement. Determine which are recurring vs. project-based and whether any can be brought in-house or cut.</t>
  </si>
  <si>
    <t xml:space="preserve">Debt Refinancing</t>
  </si>
  <si>
    <t xml:space="preserve">Debt Management</t>
  </si>
  <si>
    <t xml:space="preserve">$8K - $15K</t>
  </si>
  <si>
    <t xml:space="preserve">$50,147 interest over 5 months across 5 facilities. Review FNB 2 ($1.06M) for refinancing. A 1% rate reduction saves ~$10.6K/yr. Consolidation may also reduce admin burden.</t>
  </si>
  <si>
    <t xml:space="preserve">Beverage Pour Cost</t>
  </si>
  <si>
    <t xml:space="preserve">$3K - $6K</t>
  </si>
  <si>
    <t xml:space="preserve">Bev COGS at 31.5% of bev revenue vs. 25-28% target. Monthly pour cost audits, jigger compliance, comp/waste log review, and distributor renegotiation on top-selling SKUs.</t>
  </si>
  <si>
    <t xml:space="preserve">Marketing Spend Transparency</t>
  </si>
  <si>
    <t xml:space="preserve">$3K - $8K</t>
  </si>
  <si>
    <t xml:space="preserve">'Other Marketing' = $24,900 of $31,065 total (80% uncategorized). Break into trackable line items with ROI targets (cost per booking, cost per member). Cut underperforming spend.</t>
  </si>
  <si>
    <t xml:space="preserve">T&amp;E Normalization</t>
  </si>
  <si>
    <t xml:space="preserve">$5K - $7K</t>
  </si>
  <si>
    <t xml:space="preserve">OPTIMIZE</t>
  </si>
  <si>
    <t xml:space="preserve">$8,673 in T&amp;E incl. $5,042 lodging - tied to pre-opening travel. As local team onboards, this should normalize. Set a $500-750/month T&amp;E cap once operations stabilize.</t>
  </si>
  <si>
    <t xml:space="preserve">Expense Categorization</t>
  </si>
  <si>
    <t xml:space="preserve">Accounting</t>
  </si>
  <si>
    <t xml:space="preserve">$1K - $3K</t>
  </si>
  <si>
    <t xml:space="preserve">$2,727 in uncategorized expenses at Syracuse. Properly categorize - some may be reclassifiable as startup/pre-opening costs on the balance sheet, improving reported NOI.</t>
  </si>
  <si>
    <t xml:space="preserve">COMBINED POTENTIAL NOI UPLIFT SUMMARY</t>
  </si>
  <si>
    <t xml:space="preserve">Low Estimate</t>
  </si>
  <si>
    <t xml:space="preserve">High Estimate</t>
  </si>
  <si>
    <t xml:space="preserve">Effort</t>
  </si>
  <si>
    <t xml:space="preserve">Timeframe</t>
  </si>
  <si>
    <t xml:space="preserve">Notes</t>
  </si>
  <si>
    <t xml:space="preserve">Food COGS Optimization</t>
  </si>
  <si>
    <t xml:space="preserve">Medium</t>
  </si>
  <si>
    <t xml:space="preserve">30-60 days</t>
  </si>
  <si>
    <t xml:space="preserve">Menu costing + supplier renegotiation</t>
  </si>
  <si>
    <t xml:space="preserve">Low</t>
  </si>
  <si>
    <t xml:space="preserve">Immediate</t>
  </si>
  <si>
    <t xml:space="preserve">Comp policy + approval workflow</t>
  </si>
  <si>
    <t xml:space="preserve">F&amp;B COGS Reclassification</t>
  </si>
  <si>
    <t xml:space="preserve">Accounting reclass - quick win</t>
  </si>
  <si>
    <t xml:space="preserve">60-90 days</t>
  </si>
  <si>
    <t xml:space="preserve">Vendor review + renegotiation</t>
  </si>
  <si>
    <t xml:space="preserve">Consultant Review</t>
  </si>
  <si>
    <t xml:space="preserve">Scope review + in-house options</t>
  </si>
  <si>
    <t xml:space="preserve">High</t>
  </si>
  <si>
    <t xml:space="preserve">90-180 days</t>
  </si>
  <si>
    <t xml:space="preserve">Lender engagement required</t>
  </si>
  <si>
    <t xml:space="preserve">30 days</t>
  </si>
  <si>
    <t xml:space="preserve">Audit + controls</t>
  </si>
  <si>
    <t xml:space="preserve">Marketing ROI Tracking</t>
  </si>
  <si>
    <t xml:space="preserve">Spend reallocation</t>
  </si>
  <si>
    <t xml:space="preserve">Budget cap as ops mature</t>
  </si>
  <si>
    <t xml:space="preserve">Accounting clean-up</t>
  </si>
  <si>
    <t xml:space="preserve">TOTAL POTENTIAL NOI UPLIFT</t>
  </si>
  <si>
    <t xml:space="preserve">Both</t>
  </si>
  <si>
    <t xml:space="preserve">Estimates based on period data &amp; QuickBooks industry benchmarks. Results depend on execution speed.</t>
  </si>
  <si>
    <t xml:space="preserve">Five Iron Golf — Multi-Location Financial Summary</t>
  </si>
  <si>
    <t xml:space="preserve">As of March 28, 2026  |  Erie: Oct 2025–Feb 2026  |  Syracuse: Jan 2026–Mar 2026 (YTD)</t>
  </si>
  <si>
    <t xml:space="preserve">METRIC</t>
  </si>
  <si>
    <t xml:space="preserve">🏌 Erie</t>
  </si>
  <si>
    <t xml:space="preserve">🏌 Syracuse</t>
  </si>
  <si>
    <t xml:space="preserve">Combined</t>
  </si>
  <si>
    <t xml:space="preserve">PROFIT &amp; LOSS SUMMARY</t>
  </si>
  <si>
    <t xml:space="preserve">Total Revenue</t>
  </si>
  <si>
    <t xml:space="preserve">  Golf Operations</t>
  </si>
  <si>
    <t xml:space="preserve">  Food &amp; Beverage</t>
  </si>
  <si>
    <t xml:space="preserve">  Ancillary &amp; Other</t>
  </si>
  <si>
    <t xml:space="preserve">  Discounts / Comps</t>
  </si>
  <si>
    <t xml:space="preserve">Cost of Goods Sold</t>
  </si>
  <si>
    <t xml:space="preserve">Gross Profit</t>
  </si>
  <si>
    <t xml:space="preserve">Total Expenses</t>
  </si>
  <si>
    <t xml:space="preserve">Net Operating Income</t>
  </si>
  <si>
    <t xml:space="preserve">Other Income / (Expense)</t>
  </si>
  <si>
    <t xml:space="preserve">Net Income</t>
  </si>
  <si>
    <t xml:space="preserve">KEY MARGINS</t>
  </si>
  <si>
    <t xml:space="preserve">Gross Margin %</t>
  </si>
  <si>
    <t xml:space="preserve">Operating Margin %</t>
  </si>
  <si>
    <t xml:space="preserve">Net Profit Margin %</t>
  </si>
  <si>
    <t xml:space="preserve">BALANCE SHEET SUMMARY  (Erie: Mar 28, 2026 | Syracuse: Dec 31, 2026)</t>
  </si>
  <si>
    <t xml:space="preserve">Total Assets</t>
  </si>
  <si>
    <t xml:space="preserve">  Current Assets</t>
  </si>
  <si>
    <t xml:space="preserve">  Fixed Assets</t>
  </si>
  <si>
    <t xml:space="preserve">  Other Assets</t>
  </si>
  <si>
    <t xml:space="preserve">Total Liabilities</t>
  </si>
  <si>
    <t xml:space="preserve">  Current Liabilities</t>
  </si>
  <si>
    <t xml:space="preserve">  Long-Term Liabilities</t>
  </si>
  <si>
    <t xml:space="preserve">Total Equity</t>
  </si>
  <si>
    <t xml:space="preserve">CASH FLOW SUMMARY  (Erie: Oct 2025–Feb 2026 | Syracuse: not available)</t>
  </si>
  <si>
    <t xml:space="preserve">Operating Cash Flow</t>
  </si>
  <si>
    <t xml:space="preserve">Investing Activities</t>
  </si>
  <si>
    <t xml:space="preserve">Financing Activities</t>
  </si>
  <si>
    <t xml:space="preserve">Net Cash Change</t>
  </si>
  <si>
    <t xml:space="preserve">Cash at End of Period</t>
  </si>
  <si>
    <t xml:space="preserve">Profit &amp; Loss — Side-by-Side Comparison</t>
  </si>
  <si>
    <t xml:space="preserve">Erie: Oct 2025–Feb 2026 (5 months)  |  Syracuse: Jan 2026–Mar 28, 2026 (YTD)  |  Note: Periods differ — direct comparison is indicative only</t>
  </si>
  <si>
    <t xml:space="preserve">ACCOUNT</t>
  </si>
  <si>
    <t xml:space="preserve">Erie ($)</t>
  </si>
  <si>
    <t xml:space="preserve">Syracuse ($)</t>
  </si>
  <si>
    <t xml:space="preserve">Combined ($)</t>
  </si>
  <si>
    <t xml:space="preserve">Erie % of Rev</t>
  </si>
  <si>
    <t xml:space="preserve">INCOME</t>
  </si>
  <si>
    <t xml:space="preserve">Simulator Rentals</t>
  </si>
  <si>
    <t xml:space="preserve">Memberships</t>
  </si>
  <si>
    <t xml:space="preserve">Golf Lessons</t>
  </si>
  <si>
    <t xml:space="preserve">Leagues</t>
  </si>
  <si>
    <t xml:space="preserve">Bowling</t>
  </si>
  <si>
    <t xml:space="preserve">Cancellations</t>
  </si>
  <si>
    <t xml:space="preserve">  Total Golf Operations</t>
  </si>
  <si>
    <t xml:space="preserve">Food</t>
  </si>
  <si>
    <t xml:space="preserve">Beverages</t>
  </si>
  <si>
    <t xml:space="preserve">Nonalcoholic</t>
  </si>
  <si>
    <t xml:space="preserve">F&amp;B Revenue (combined)</t>
  </si>
  <si>
    <t xml:space="preserve">  Total Food &amp; Beverage</t>
  </si>
  <si>
    <t xml:space="preserve">Events</t>
  </si>
  <si>
    <t xml:space="preserve">Game Room</t>
  </si>
  <si>
    <t xml:space="preserve">Golf Equipment</t>
  </si>
  <si>
    <t xml:space="preserve">Clothing &amp; Accessories</t>
  </si>
  <si>
    <t xml:space="preserve">Sales (POS)</t>
  </si>
  <si>
    <t xml:space="preserve">Other Ancillary</t>
  </si>
  <si>
    <t xml:space="preserve">The Fitting Lab</t>
  </si>
  <si>
    <t xml:space="preserve">  Total Ancillary &amp; Other</t>
  </si>
  <si>
    <t xml:space="preserve">Discounts - Account Comps</t>
  </si>
  <si>
    <t xml:space="preserve">TOTAL INCOME</t>
  </si>
  <si>
    <t xml:space="preserve">COST OF GOODS SOLD</t>
  </si>
  <si>
    <t xml:space="preserve">COGS - Food</t>
  </si>
  <si>
    <t xml:space="preserve">COGS - Beverages</t>
  </si>
  <si>
    <t xml:space="preserve">Commissions</t>
  </si>
  <si>
    <t xml:space="preserve">Direct Event Costs</t>
  </si>
  <si>
    <t xml:space="preserve">Golf Pro &amp; Other Services</t>
  </si>
  <si>
    <t xml:space="preserve">TOTAL COGS</t>
  </si>
  <si>
    <t xml:space="preserve">GROSS PROFIT</t>
  </si>
  <si>
    <t xml:space="preserve">OPERATING EXPENSES</t>
  </si>
  <si>
    <t xml:space="preserve">Salaries &amp; Wages</t>
  </si>
  <si>
    <t xml:space="preserve">Employer Payroll Taxes</t>
  </si>
  <si>
    <t xml:space="preserve">Employee Benefits &amp; Other</t>
  </si>
  <si>
    <t xml:space="preserve">Marketing</t>
  </si>
  <si>
    <t xml:space="preserve">Bank &amp; Merchant Fees</t>
  </si>
  <si>
    <t xml:space="preserve">Food &amp; Beverage Expenses</t>
  </si>
  <si>
    <t xml:space="preserve">Utilities</t>
  </si>
  <si>
    <t xml:space="preserve">Insurance</t>
  </si>
  <si>
    <t xml:space="preserve">Royalty Fees</t>
  </si>
  <si>
    <t xml:space="preserve">Professional Fees</t>
  </si>
  <si>
    <t xml:space="preserve">Repairs &amp; Maintenance</t>
  </si>
  <si>
    <t xml:space="preserve">Startup Expenses</t>
  </si>
  <si>
    <t xml:space="preserve">Travel &amp; Entertainment</t>
  </si>
  <si>
    <t xml:space="preserve">Other Operating</t>
  </si>
  <si>
    <t xml:space="preserve">TOTAL EXPENSES</t>
  </si>
  <si>
    <t xml:space="preserve">NET OPERATING INCOME</t>
  </si>
  <si>
    <t xml:space="preserve">OTHER INCOME / EXPENSES</t>
  </si>
  <si>
    <t xml:space="preserve">Interest Expense</t>
  </si>
  <si>
    <t xml:space="preserve">Loan Origination Fees</t>
  </si>
  <si>
    <t xml:space="preserve">NY Vendor Credit</t>
  </si>
  <si>
    <t xml:space="preserve">Other Non-Operating</t>
  </si>
  <si>
    <t xml:space="preserve">Total Other</t>
  </si>
  <si>
    <t xml:space="preserve">NET INCOME</t>
  </si>
  <si>
    <t xml:space="preserve">Balance Sheet — Side-by-Side Comparison</t>
  </si>
  <si>
    <t xml:space="preserve">Erie: As of March 28, 2026  |  Syracuse: As of December 31, 2026 (fiscal year end)</t>
  </si>
  <si>
    <t xml:space="preserve">ASSETS</t>
  </si>
  <si>
    <t xml:space="preserve">Current Assets</t>
  </si>
  <si>
    <t xml:space="preserve">Bank Accounts</t>
  </si>
  <si>
    <t xml:space="preserve">Accounts Receivable</t>
  </si>
  <si>
    <t xml:space="preserve">Undeposited Funds</t>
  </si>
  <si>
    <t xml:space="preserve">Inventory</t>
  </si>
  <si>
    <t xml:space="preserve">Prepaid Expenses</t>
  </si>
  <si>
    <t xml:space="preserve">Intercompany Receivable</t>
  </si>
  <si>
    <t xml:space="preserve">Total Current Assets</t>
  </si>
  <si>
    <t xml:space="preserve">Fixed Assets</t>
  </si>
  <si>
    <t xml:space="preserve">Furniture, Fixtures &amp; Equipment</t>
  </si>
  <si>
    <t xml:space="preserve">Leasehold Improvements</t>
  </si>
  <si>
    <t xml:space="preserve">Intangible Assets</t>
  </si>
  <si>
    <t xml:space="preserve">Accumulated Depreciation</t>
  </si>
  <si>
    <t xml:space="preserve">Total Fixed Assets</t>
  </si>
  <si>
    <t xml:space="preserve">Other Assets (Intercompany)</t>
  </si>
  <si>
    <t xml:space="preserve">TOTAL ASSETS</t>
  </si>
  <si>
    <t xml:space="preserve">LIABILITIES</t>
  </si>
  <si>
    <t xml:space="preserve">Current Liabilities</t>
  </si>
  <si>
    <t xml:space="preserve">Accounts Payable</t>
  </si>
  <si>
    <t xml:space="preserve">Credit Cards</t>
  </si>
  <si>
    <t xml:space="preserve">Deferred Revenue &amp; Gift Cards</t>
  </si>
  <si>
    <t xml:space="preserve">Accrued Payroll &amp; Benefits</t>
  </si>
  <si>
    <t xml:space="preserve">Sales Tax Payable</t>
  </si>
  <si>
    <t xml:space="preserve">Other Current Liabilities</t>
  </si>
  <si>
    <t xml:space="preserve">Total Current Liabilities</t>
  </si>
  <si>
    <t xml:space="preserve">Notes Payable - FNB 2</t>
  </si>
  <si>
    <t xml:space="preserve">Notes Payable - Equipment</t>
  </si>
  <si>
    <t xml:space="preserve">Notes Payable - Navitas Credit</t>
  </si>
  <si>
    <t xml:space="preserve">Notes Payable - Duckpin Lanes</t>
  </si>
  <si>
    <t xml:space="preserve">Loan Payable - C. Rogan</t>
  </si>
  <si>
    <t xml:space="preserve">Loan Payable - DE Whiting Holdings</t>
  </si>
  <si>
    <t xml:space="preserve">Total Long-Term Liabilities</t>
  </si>
  <si>
    <t xml:space="preserve">TOTAL LIABILITIES</t>
  </si>
  <si>
    <t xml:space="preserve">EQUITY</t>
  </si>
  <si>
    <t xml:space="preserve">Retained Earnings</t>
  </si>
  <si>
    <t xml:space="preserve">Partner Contributions</t>
  </si>
  <si>
    <t xml:space="preserve">Net Income (Current Period)</t>
  </si>
  <si>
    <t xml:space="preserve">TOTAL EQUITY</t>
  </si>
  <si>
    <t xml:space="preserve">Cash Flow Statement — Five Iron Golf Erie</t>
  </si>
  <si>
    <t xml:space="preserve">October 1, 2025 – February 28, 2026  |  Source: QuickBooks (live pull)</t>
  </si>
  <si>
    <t xml:space="preserve">Amount ($)</t>
  </si>
  <si>
    <t xml:space="preserve">OPERATING ACTIVITIES</t>
  </si>
  <si>
    <t xml:space="preserve">Adjustments to Reconcile Net Income:</t>
  </si>
  <si>
    <t xml:space="preserve">  Accounts Payable (A/P)</t>
  </si>
  <si>
    <t xml:space="preserve">  Accounts Receivable</t>
  </si>
  <si>
    <t xml:space="preserve">  Accrued Wages</t>
  </si>
  <si>
    <t xml:space="preserve">  Tips Clearing</t>
  </si>
  <si>
    <t xml:space="preserve">  American Express Credit Card</t>
  </si>
  <si>
    <t xml:space="preserve">  At Home Credit Card</t>
  </si>
  <si>
    <t xml:space="preserve">  Best Buy CC</t>
  </si>
  <si>
    <t xml:space="preserve">  Chase Credit Card</t>
  </si>
  <si>
    <t xml:space="preserve">  Citizens Credit Card</t>
  </si>
  <si>
    <t xml:space="preserve">  FNB Credit Card</t>
  </si>
  <si>
    <t xml:space="preserve">  Deferred Event Fees</t>
  </si>
  <si>
    <t xml:space="preserve">  Gift Cards</t>
  </si>
  <si>
    <t xml:space="preserve">  Intercompany - Tenth &amp; State</t>
  </si>
  <si>
    <t xml:space="preserve">  Golf Club Inventory</t>
  </si>
  <si>
    <t xml:space="preserve">  Retail Inventory</t>
  </si>
  <si>
    <t xml:space="preserve">  Other Current Liabilities</t>
  </si>
  <si>
    <t xml:space="preserve">  Payroll Liabilities</t>
  </si>
  <si>
    <t xml:space="preserve">  Prepaid Expenses</t>
  </si>
  <si>
    <t xml:space="preserve">  Insurance PPE</t>
  </si>
  <si>
    <t xml:space="preserve">  Licensing PPE</t>
  </si>
  <si>
    <t xml:space="preserve">  Loan Origination Fees PPE</t>
  </si>
  <si>
    <t xml:space="preserve">  Sales Tax Payable</t>
  </si>
  <si>
    <t xml:space="preserve">Net Cash from Operating Activities</t>
  </si>
  <si>
    <t xml:space="preserve">INVESTING ACTIVITIES</t>
  </si>
  <si>
    <t xml:space="preserve">  Intercompany - Five Iron Golf Syracuse</t>
  </si>
  <si>
    <t xml:space="preserve">Net Cash from Investing Activities</t>
  </si>
  <si>
    <t xml:space="preserve">FINANCING ACTIVITIES</t>
  </si>
  <si>
    <t xml:space="preserve">  Notes Payable - Duckpin Lanes</t>
  </si>
  <si>
    <t xml:space="preserve">  Notes Payable - Equipment Financing</t>
  </si>
  <si>
    <t xml:space="preserve">  Notes Payable - Equipment Financing 2</t>
  </si>
  <si>
    <t xml:space="preserve">  Notes Payable - FNB 2</t>
  </si>
  <si>
    <t xml:space="preserve">  Notes Payable - Navitas Credit</t>
  </si>
  <si>
    <t xml:space="preserve">Net Cash from Financing Activities</t>
  </si>
  <si>
    <t xml:space="preserve">NET CASH INCREASE FOR PERIOD</t>
  </si>
  <si>
    <t xml:space="preserve">Cash at Beginning of Period</t>
  </si>
  <si>
    <t xml:space="preserve">CASH AT END OF PERIOD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</si>
</sst>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%"/>
    <numFmt numFmtId="167" formatCode="\$#,##0;&quot;($&quot;#,##0\);\-"/>
    <numFmt numFmtId="168" formatCode="0.0%;\(0.0%\);\-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0"/>
      <color rgb="FFBDD7E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E26B0A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i val="true"/>
      <sz val="9"/>
      <color rgb="FFFFFFF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9D9D9"/>
        <bgColor rgb="FFDEEAF1"/>
      </patternFill>
    </fill>
    <fill>
      <patternFill patternType="solid">
        <fgColor rgb="FF375623"/>
        <bgColor rgb="FF333300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DEEAF1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DEBD0"/>
      </patternFill>
    </fill>
    <fill>
      <patternFill patternType="solid">
        <fgColor rgb="FFFDEBD0"/>
        <bgColor rgb="FFFCE4D6"/>
      </patternFill>
    </fill>
    <fill>
      <patternFill patternType="solid">
        <fgColor rgb="FFC00000"/>
        <bgColor rgb="FF800000"/>
      </patternFill>
    </fill>
    <fill>
      <patternFill patternType="solid">
        <fgColor rgb="FFE26B0A"/>
        <bgColor rgb="FFFF9900"/>
      </patternFill>
    </fill>
    <fill>
      <patternFill patternType="solid">
        <fgColor rgb="FFFFC000"/>
        <bgColor rgb="FFFF9900"/>
      </patternFill>
    </fill>
    <fill>
      <patternFill patternType="solid">
        <fgColor rgb="FFDEEAF1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9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2" fillId="1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2" fillId="1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0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0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2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2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88888"/>
      <rgbColor rgb="FF9999FF"/>
      <rgbColor rgb="FF993366"/>
      <rgbColor rgb="FFFDEBD0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000"/>
      <rgbColor rgb="FFFF9900"/>
      <rgbColor rgb="FFE26B0A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5" min="3" style="0" width="16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44"/>
    <col collapsed="false" customWidth="true" hidden="false" outlineLevel="0" max="9" min="9" style="0" width="4"/>
  </cols>
  <sheetData>
    <row r="1" customFormat="false" ht="42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1"/>
    </row>
    <row r="2" customFormat="false" ht="19.5" hidden="false" customHeight="true" outlineLevel="0" collapsed="false">
      <c r="A2" s="1"/>
      <c r="B2" s="3" t="s">
        <v>1</v>
      </c>
      <c r="C2" s="3"/>
      <c r="D2" s="3"/>
      <c r="E2" s="3"/>
      <c r="F2" s="3"/>
      <c r="G2" s="3"/>
      <c r="H2" s="3"/>
      <c r="I2" s="1"/>
    </row>
    <row r="4" customFormat="false" ht="21.75" hidden="false" customHeight="true" outlineLevel="0" collapsed="false">
      <c r="A4" s="4"/>
      <c r="B4" s="5" t="s">
        <v>2</v>
      </c>
      <c r="C4" s="5"/>
      <c r="D4" s="5"/>
      <c r="E4" s="5"/>
      <c r="F4" s="5"/>
      <c r="G4" s="5"/>
      <c r="H4" s="5"/>
      <c r="I4" s="4"/>
    </row>
    <row r="5" customFormat="false" ht="19.5" hidden="false" customHeight="true" outlineLevel="0" collapsed="false">
      <c r="B5" s="6" t="s">
        <v>3</v>
      </c>
      <c r="C5" s="7" t="s">
        <v>4</v>
      </c>
      <c r="D5" s="8" t="s">
        <v>5</v>
      </c>
      <c r="E5" s="8" t="s">
        <v>6</v>
      </c>
      <c r="F5" s="9" t="s">
        <v>7</v>
      </c>
      <c r="G5" s="8" t="s">
        <v>8</v>
      </c>
      <c r="H5" s="8" t="s">
        <v>9</v>
      </c>
    </row>
    <row r="6" customFormat="false" ht="18" hidden="false" customHeight="true" outlineLevel="0" collapsed="false">
      <c r="A6" s="10"/>
      <c r="B6" s="11" t="s">
        <v>10</v>
      </c>
      <c r="C6" s="12" t="n">
        <v>228631</v>
      </c>
      <c r="D6" s="13" t="n">
        <v>37642</v>
      </c>
      <c r="E6" s="14" t="s">
        <v>11</v>
      </c>
      <c r="F6" s="15" t="n">
        <v>313380</v>
      </c>
      <c r="G6" s="13" t="n">
        <v>32379</v>
      </c>
      <c r="H6" s="14" t="s">
        <v>12</v>
      </c>
      <c r="I6" s="10"/>
    </row>
    <row r="7" customFormat="false" ht="18" hidden="false" customHeight="true" outlineLevel="0" collapsed="false">
      <c r="A7" s="16"/>
      <c r="B7" s="17" t="s">
        <v>13</v>
      </c>
      <c r="C7" s="18" t="n">
        <v>0.205</v>
      </c>
      <c r="D7" s="19" t="n">
        <v>0.08</v>
      </c>
      <c r="E7" s="14" t="s">
        <v>14</v>
      </c>
      <c r="F7" s="20" t="n">
        <v>0.464</v>
      </c>
      <c r="G7" s="19" t="n">
        <v>0.08</v>
      </c>
      <c r="H7" s="14" t="s">
        <v>14</v>
      </c>
      <c r="I7" s="16"/>
    </row>
    <row r="8" customFormat="false" ht="18" hidden="false" customHeight="true" outlineLevel="0" collapsed="false">
      <c r="A8" s="10"/>
      <c r="B8" s="11" t="s">
        <v>15</v>
      </c>
      <c r="C8" s="18" t="n">
        <v>0.551</v>
      </c>
      <c r="D8" s="21" t="n">
        <v>0.32</v>
      </c>
      <c r="E8" s="22" t="s">
        <v>16</v>
      </c>
      <c r="F8" s="23" t="s">
        <v>17</v>
      </c>
      <c r="G8" s="21" t="n">
        <v>0.32</v>
      </c>
      <c r="H8" s="24" t="s">
        <v>17</v>
      </c>
      <c r="I8" s="10"/>
    </row>
    <row r="9" customFormat="false" ht="18" hidden="false" customHeight="true" outlineLevel="0" collapsed="false">
      <c r="A9" s="16"/>
      <c r="B9" s="17" t="s">
        <v>18</v>
      </c>
      <c r="C9" s="18" t="n">
        <v>0.315</v>
      </c>
      <c r="D9" s="19" t="n">
        <v>0.25</v>
      </c>
      <c r="E9" s="25" t="s">
        <v>19</v>
      </c>
      <c r="F9" s="23" t="s">
        <v>17</v>
      </c>
      <c r="G9" s="19" t="n">
        <v>0.25</v>
      </c>
      <c r="H9" s="24" t="s">
        <v>17</v>
      </c>
      <c r="I9" s="16"/>
    </row>
    <row r="10" customFormat="false" ht="18" hidden="false" customHeight="true" outlineLevel="0" collapsed="false">
      <c r="A10" s="10"/>
      <c r="B10" s="11" t="s">
        <v>20</v>
      </c>
      <c r="C10" s="18" t="n">
        <v>0.261</v>
      </c>
      <c r="D10" s="21" t="n">
        <v>0.3</v>
      </c>
      <c r="E10" s="14" t="s">
        <v>21</v>
      </c>
      <c r="F10" s="20" t="n">
        <v>0.026</v>
      </c>
      <c r="G10" s="21" t="n">
        <v>0.3</v>
      </c>
      <c r="H10" s="14" t="s">
        <v>22</v>
      </c>
      <c r="I10" s="10"/>
    </row>
    <row r="11" customFormat="false" ht="18" hidden="false" customHeight="true" outlineLevel="0" collapsed="false">
      <c r="A11" s="16"/>
      <c r="B11" s="17" t="s">
        <v>23</v>
      </c>
      <c r="C11" s="18" t="n">
        <v>0.04</v>
      </c>
      <c r="D11" s="19" t="n">
        <v>0.03</v>
      </c>
      <c r="E11" s="25" t="s">
        <v>19</v>
      </c>
      <c r="F11" s="20" t="n">
        <v>0.033</v>
      </c>
      <c r="G11" s="19" t="n">
        <v>0.03</v>
      </c>
      <c r="H11" s="14" t="s">
        <v>24</v>
      </c>
      <c r="I11" s="16"/>
    </row>
    <row r="12" customFormat="false" ht="18" hidden="false" customHeight="true" outlineLevel="0" collapsed="false">
      <c r="A12" s="10"/>
      <c r="B12" s="11" t="s">
        <v>25</v>
      </c>
      <c r="C12" s="18" t="n">
        <v>0.031</v>
      </c>
      <c r="D12" s="21" t="n">
        <v>0.02</v>
      </c>
      <c r="E12" s="25" t="s">
        <v>26</v>
      </c>
      <c r="F12" s="20" t="n">
        <v>0.01</v>
      </c>
      <c r="G12" s="21" t="n">
        <v>0.02</v>
      </c>
      <c r="H12" s="14" t="s">
        <v>27</v>
      </c>
      <c r="I12" s="10"/>
    </row>
    <row r="13" customFormat="false" ht="18" hidden="false" customHeight="true" outlineLevel="0" collapsed="false">
      <c r="A13" s="16"/>
      <c r="B13" s="26" t="s">
        <v>28</v>
      </c>
      <c r="C13" s="27" t="n">
        <v>0.012</v>
      </c>
      <c r="D13" s="28" t="n">
        <v>0.02</v>
      </c>
      <c r="E13" s="29" t="s">
        <v>29</v>
      </c>
      <c r="F13" s="30" t="n">
        <v>0.117</v>
      </c>
      <c r="G13" s="28" t="n">
        <v>0.02</v>
      </c>
      <c r="H13" s="31" t="s">
        <v>16</v>
      </c>
      <c r="I13" s="16"/>
    </row>
    <row r="15" customFormat="false" ht="21.75" hidden="false" customHeight="true" outlineLevel="0" collapsed="false">
      <c r="A15" s="1"/>
      <c r="B15" s="32" t="s">
        <v>30</v>
      </c>
      <c r="C15" s="32"/>
      <c r="D15" s="32"/>
      <c r="E15" s="32"/>
      <c r="F15" s="32"/>
      <c r="G15" s="32"/>
      <c r="H15" s="32"/>
      <c r="I15" s="1"/>
    </row>
    <row r="16" customFormat="false" ht="19.5" hidden="false" customHeight="true" outlineLevel="0" collapsed="false">
      <c r="B16" s="33" t="s">
        <v>31</v>
      </c>
      <c r="C16" s="34" t="s">
        <v>32</v>
      </c>
      <c r="D16" s="33" t="s">
        <v>33</v>
      </c>
      <c r="E16" s="33" t="s">
        <v>34</v>
      </c>
      <c r="F16" s="33" t="s">
        <v>35</v>
      </c>
      <c r="G16" s="33" t="s">
        <v>36</v>
      </c>
      <c r="H16" s="34" t="s">
        <v>37</v>
      </c>
    </row>
    <row r="17" customFormat="false" ht="54.75" hidden="false" customHeight="true" outlineLevel="0" collapsed="false">
      <c r="A17" s="35"/>
      <c r="B17" s="36" t="n">
        <v>1</v>
      </c>
      <c r="C17" s="37" t="s">
        <v>38</v>
      </c>
      <c r="D17" s="38" t="s">
        <v>39</v>
      </c>
      <c r="E17" s="39" t="s">
        <v>40</v>
      </c>
      <c r="F17" s="40" t="s">
        <v>41</v>
      </c>
      <c r="G17" s="41" t="s">
        <v>42</v>
      </c>
      <c r="H17" s="42" t="s">
        <v>43</v>
      </c>
      <c r="I17" s="35"/>
    </row>
    <row r="18" customFormat="false" ht="54.75" hidden="false" customHeight="true" outlineLevel="0" collapsed="false">
      <c r="A18" s="35"/>
      <c r="B18" s="36" t="n">
        <v>2</v>
      </c>
      <c r="C18" s="37" t="s">
        <v>44</v>
      </c>
      <c r="D18" s="43" t="s">
        <v>45</v>
      </c>
      <c r="E18" s="39" t="s">
        <v>46</v>
      </c>
      <c r="F18" s="40" t="s">
        <v>47</v>
      </c>
      <c r="G18" s="41" t="s">
        <v>42</v>
      </c>
      <c r="H18" s="42" t="s">
        <v>48</v>
      </c>
      <c r="I18" s="35"/>
    </row>
    <row r="19" customFormat="false" ht="54.75" hidden="false" customHeight="true" outlineLevel="0" collapsed="false">
      <c r="A19" s="35"/>
      <c r="B19" s="36" t="n">
        <v>3</v>
      </c>
      <c r="C19" s="37" t="s">
        <v>49</v>
      </c>
      <c r="D19" s="43" t="s">
        <v>45</v>
      </c>
      <c r="E19" s="39" t="s">
        <v>50</v>
      </c>
      <c r="F19" s="40" t="s">
        <v>51</v>
      </c>
      <c r="G19" s="41" t="s">
        <v>42</v>
      </c>
      <c r="H19" s="42" t="s">
        <v>52</v>
      </c>
      <c r="I19" s="35"/>
    </row>
    <row r="20" customFormat="false" ht="54.75" hidden="false" customHeight="true" outlineLevel="0" collapsed="false">
      <c r="A20" s="44"/>
      <c r="B20" s="45" t="n">
        <v>4</v>
      </c>
      <c r="C20" s="46" t="s">
        <v>53</v>
      </c>
      <c r="D20" s="38" t="s">
        <v>39</v>
      </c>
      <c r="E20" s="47" t="s">
        <v>54</v>
      </c>
      <c r="F20" s="48" t="s">
        <v>55</v>
      </c>
      <c r="G20" s="49" t="s">
        <v>56</v>
      </c>
      <c r="H20" s="50" t="s">
        <v>57</v>
      </c>
      <c r="I20" s="44"/>
    </row>
    <row r="21" customFormat="false" ht="54.75" hidden="false" customHeight="true" outlineLevel="0" collapsed="false">
      <c r="A21" s="44"/>
      <c r="B21" s="45" t="n">
        <v>5</v>
      </c>
      <c r="C21" s="46" t="s">
        <v>58</v>
      </c>
      <c r="D21" s="38" t="s">
        <v>39</v>
      </c>
      <c r="E21" s="47" t="s">
        <v>59</v>
      </c>
      <c r="F21" s="48" t="s">
        <v>60</v>
      </c>
      <c r="G21" s="49" t="s">
        <v>56</v>
      </c>
      <c r="H21" s="50" t="s">
        <v>61</v>
      </c>
      <c r="I21" s="44"/>
    </row>
    <row r="22" customFormat="false" ht="54.75" hidden="false" customHeight="true" outlineLevel="0" collapsed="false">
      <c r="A22" s="44"/>
      <c r="B22" s="45" t="n">
        <v>6</v>
      </c>
      <c r="C22" s="46" t="s">
        <v>62</v>
      </c>
      <c r="D22" s="38" t="s">
        <v>39</v>
      </c>
      <c r="E22" s="47" t="s">
        <v>63</v>
      </c>
      <c r="F22" s="48" t="s">
        <v>64</v>
      </c>
      <c r="G22" s="49" t="s">
        <v>56</v>
      </c>
      <c r="H22" s="50" t="s">
        <v>65</v>
      </c>
      <c r="I22" s="44"/>
    </row>
    <row r="23" customFormat="false" ht="54.75" hidden="false" customHeight="true" outlineLevel="0" collapsed="false">
      <c r="A23" s="44"/>
      <c r="B23" s="45" t="n">
        <v>7</v>
      </c>
      <c r="C23" s="46" t="s">
        <v>66</v>
      </c>
      <c r="D23" s="38" t="s">
        <v>39</v>
      </c>
      <c r="E23" s="47" t="s">
        <v>40</v>
      </c>
      <c r="F23" s="48" t="s">
        <v>67</v>
      </c>
      <c r="G23" s="49" t="s">
        <v>56</v>
      </c>
      <c r="H23" s="50" t="s">
        <v>68</v>
      </c>
      <c r="I23" s="44"/>
    </row>
    <row r="24" customFormat="false" ht="54.75" hidden="false" customHeight="true" outlineLevel="0" collapsed="false">
      <c r="A24" s="44"/>
      <c r="B24" s="45" t="n">
        <v>8</v>
      </c>
      <c r="C24" s="46" t="s">
        <v>69</v>
      </c>
      <c r="D24" s="38" t="s">
        <v>39</v>
      </c>
      <c r="E24" s="47" t="s">
        <v>59</v>
      </c>
      <c r="F24" s="48" t="s">
        <v>70</v>
      </c>
      <c r="G24" s="49" t="s">
        <v>56</v>
      </c>
      <c r="H24" s="50" t="s">
        <v>71</v>
      </c>
      <c r="I24" s="44"/>
    </row>
    <row r="25" customFormat="false" ht="54.75" hidden="false" customHeight="true" outlineLevel="0" collapsed="false">
      <c r="A25" s="51"/>
      <c r="B25" s="52" t="n">
        <v>9</v>
      </c>
      <c r="C25" s="53" t="s">
        <v>72</v>
      </c>
      <c r="D25" s="43" t="s">
        <v>45</v>
      </c>
      <c r="E25" s="54" t="s">
        <v>59</v>
      </c>
      <c r="F25" s="55" t="s">
        <v>73</v>
      </c>
      <c r="G25" s="43" t="s">
        <v>74</v>
      </c>
      <c r="H25" s="56" t="s">
        <v>75</v>
      </c>
      <c r="I25" s="51"/>
    </row>
    <row r="26" customFormat="false" ht="54.75" hidden="false" customHeight="true" outlineLevel="0" collapsed="false">
      <c r="A26" s="51"/>
      <c r="B26" s="52" t="n">
        <v>10</v>
      </c>
      <c r="C26" s="53" t="s">
        <v>76</v>
      </c>
      <c r="D26" s="43" t="s">
        <v>45</v>
      </c>
      <c r="E26" s="54" t="s">
        <v>77</v>
      </c>
      <c r="F26" s="55" t="s">
        <v>78</v>
      </c>
      <c r="G26" s="43" t="s">
        <v>74</v>
      </c>
      <c r="H26" s="56" t="s">
        <v>79</v>
      </c>
      <c r="I26" s="51"/>
    </row>
    <row r="28" customFormat="false" ht="21.75" hidden="false" customHeight="true" outlineLevel="0" collapsed="false">
      <c r="A28" s="57"/>
      <c r="B28" s="58" t="s">
        <v>80</v>
      </c>
      <c r="C28" s="58"/>
      <c r="D28" s="58"/>
      <c r="E28" s="58"/>
      <c r="F28" s="58"/>
      <c r="G28" s="58"/>
      <c r="H28" s="58"/>
      <c r="I28" s="57"/>
    </row>
    <row r="29" customFormat="false" ht="19.5" hidden="false" customHeight="true" outlineLevel="0" collapsed="false">
      <c r="B29" s="59" t="s">
        <v>34</v>
      </c>
      <c r="C29" s="9" t="s">
        <v>33</v>
      </c>
      <c r="D29" s="9" t="s">
        <v>81</v>
      </c>
      <c r="E29" s="9" t="s">
        <v>82</v>
      </c>
      <c r="F29" s="9" t="s">
        <v>83</v>
      </c>
      <c r="G29" s="9" t="s">
        <v>84</v>
      </c>
      <c r="H29" s="9" t="s">
        <v>85</v>
      </c>
    </row>
    <row r="30" customFormat="false" ht="18" hidden="false" customHeight="true" outlineLevel="0" collapsed="false">
      <c r="A30" s="10"/>
      <c r="B30" s="11" t="s">
        <v>86</v>
      </c>
      <c r="C30" s="7" t="s">
        <v>39</v>
      </c>
      <c r="D30" s="60" t="n">
        <v>33000</v>
      </c>
      <c r="E30" s="60" t="n">
        <v>40000</v>
      </c>
      <c r="F30" s="61" t="s">
        <v>87</v>
      </c>
      <c r="G30" s="61" t="s">
        <v>88</v>
      </c>
      <c r="H30" s="11" t="s">
        <v>89</v>
      </c>
      <c r="I30" s="10"/>
    </row>
    <row r="31" customFormat="false" ht="18" hidden="false" customHeight="true" outlineLevel="0" collapsed="false">
      <c r="A31" s="16"/>
      <c r="B31" s="17" t="s">
        <v>44</v>
      </c>
      <c r="C31" s="9" t="s">
        <v>45</v>
      </c>
      <c r="D31" s="62" t="n">
        <v>15000</v>
      </c>
      <c r="E31" s="62" t="n">
        <v>18000</v>
      </c>
      <c r="F31" s="24" t="s">
        <v>90</v>
      </c>
      <c r="G31" s="24" t="s">
        <v>91</v>
      </c>
      <c r="H31" s="17" t="s">
        <v>92</v>
      </c>
      <c r="I31" s="16"/>
    </row>
    <row r="32" customFormat="false" ht="18" hidden="false" customHeight="true" outlineLevel="0" collapsed="false">
      <c r="A32" s="10"/>
      <c r="B32" s="11" t="s">
        <v>93</v>
      </c>
      <c r="C32" s="9" t="s">
        <v>45</v>
      </c>
      <c r="D32" s="60" t="n">
        <v>20000</v>
      </c>
      <c r="E32" s="60" t="n">
        <v>50000</v>
      </c>
      <c r="F32" s="61" t="s">
        <v>90</v>
      </c>
      <c r="G32" s="61" t="s">
        <v>91</v>
      </c>
      <c r="H32" s="11" t="s">
        <v>94</v>
      </c>
      <c r="I32" s="10"/>
    </row>
    <row r="33" customFormat="false" ht="18" hidden="false" customHeight="true" outlineLevel="0" collapsed="false">
      <c r="A33" s="16"/>
      <c r="B33" s="17" t="s">
        <v>53</v>
      </c>
      <c r="C33" s="7" t="s">
        <v>39</v>
      </c>
      <c r="D33" s="62" t="n">
        <v>4000</v>
      </c>
      <c r="E33" s="62" t="n">
        <v>7000</v>
      </c>
      <c r="F33" s="24" t="s">
        <v>87</v>
      </c>
      <c r="G33" s="24" t="s">
        <v>95</v>
      </c>
      <c r="H33" s="17" t="s">
        <v>96</v>
      </c>
      <c r="I33" s="16"/>
    </row>
    <row r="34" customFormat="false" ht="18" hidden="false" customHeight="true" outlineLevel="0" collapsed="false">
      <c r="A34" s="10"/>
      <c r="B34" s="11" t="s">
        <v>97</v>
      </c>
      <c r="C34" s="7" t="s">
        <v>39</v>
      </c>
      <c r="D34" s="60" t="n">
        <v>4000</v>
      </c>
      <c r="E34" s="60" t="n">
        <v>9000</v>
      </c>
      <c r="F34" s="61" t="s">
        <v>87</v>
      </c>
      <c r="G34" s="61" t="s">
        <v>88</v>
      </c>
      <c r="H34" s="11" t="s">
        <v>98</v>
      </c>
      <c r="I34" s="10"/>
    </row>
    <row r="35" customFormat="false" ht="18" hidden="false" customHeight="true" outlineLevel="0" collapsed="false">
      <c r="A35" s="16"/>
      <c r="B35" s="17" t="s">
        <v>62</v>
      </c>
      <c r="C35" s="7" t="s">
        <v>39</v>
      </c>
      <c r="D35" s="62" t="n">
        <v>8000</v>
      </c>
      <c r="E35" s="62" t="n">
        <v>15000</v>
      </c>
      <c r="F35" s="24" t="s">
        <v>99</v>
      </c>
      <c r="G35" s="24" t="s">
        <v>100</v>
      </c>
      <c r="H35" s="17" t="s">
        <v>101</v>
      </c>
      <c r="I35" s="16"/>
    </row>
    <row r="36" customFormat="false" ht="18" hidden="false" customHeight="true" outlineLevel="0" collapsed="false">
      <c r="A36" s="10"/>
      <c r="B36" s="11" t="s">
        <v>66</v>
      </c>
      <c r="C36" s="7" t="s">
        <v>39</v>
      </c>
      <c r="D36" s="60" t="n">
        <v>3000</v>
      </c>
      <c r="E36" s="60" t="n">
        <v>6000</v>
      </c>
      <c r="F36" s="61" t="s">
        <v>90</v>
      </c>
      <c r="G36" s="61" t="s">
        <v>102</v>
      </c>
      <c r="H36" s="11" t="s">
        <v>103</v>
      </c>
      <c r="I36" s="10"/>
    </row>
    <row r="37" customFormat="false" ht="18" hidden="false" customHeight="true" outlineLevel="0" collapsed="false">
      <c r="A37" s="16"/>
      <c r="B37" s="17" t="s">
        <v>104</v>
      </c>
      <c r="C37" s="7" t="s">
        <v>39</v>
      </c>
      <c r="D37" s="62" t="n">
        <v>3000</v>
      </c>
      <c r="E37" s="62" t="n">
        <v>8000</v>
      </c>
      <c r="F37" s="24" t="s">
        <v>90</v>
      </c>
      <c r="G37" s="24" t="s">
        <v>102</v>
      </c>
      <c r="H37" s="17" t="s">
        <v>105</v>
      </c>
      <c r="I37" s="16"/>
    </row>
    <row r="38" customFormat="false" ht="18" hidden="false" customHeight="true" outlineLevel="0" collapsed="false">
      <c r="A38" s="10"/>
      <c r="B38" s="11" t="s">
        <v>72</v>
      </c>
      <c r="C38" s="9" t="s">
        <v>45</v>
      </c>
      <c r="D38" s="60" t="n">
        <v>5000</v>
      </c>
      <c r="E38" s="60" t="n">
        <v>7000</v>
      </c>
      <c r="F38" s="61" t="s">
        <v>90</v>
      </c>
      <c r="G38" s="61" t="s">
        <v>95</v>
      </c>
      <c r="H38" s="11" t="s">
        <v>106</v>
      </c>
      <c r="I38" s="10"/>
    </row>
    <row r="39" customFormat="false" ht="18" hidden="false" customHeight="true" outlineLevel="0" collapsed="false">
      <c r="A39" s="16"/>
      <c r="B39" s="17" t="s">
        <v>76</v>
      </c>
      <c r="C39" s="9" t="s">
        <v>45</v>
      </c>
      <c r="D39" s="62" t="n">
        <v>1000</v>
      </c>
      <c r="E39" s="62" t="n">
        <v>3000</v>
      </c>
      <c r="F39" s="24" t="s">
        <v>90</v>
      </c>
      <c r="G39" s="24" t="s">
        <v>91</v>
      </c>
      <c r="H39" s="17" t="s">
        <v>107</v>
      </c>
      <c r="I39" s="16"/>
    </row>
    <row r="40" customFormat="false" ht="25.5" hidden="false" customHeight="true" outlineLevel="0" collapsed="false">
      <c r="A40" s="63"/>
      <c r="B40" s="64" t="s">
        <v>108</v>
      </c>
      <c r="C40" s="65" t="s">
        <v>109</v>
      </c>
      <c r="D40" s="66" t="n">
        <v>96000</v>
      </c>
      <c r="E40" s="66" t="n">
        <v>163000</v>
      </c>
      <c r="F40" s="67" t="s">
        <v>110</v>
      </c>
      <c r="G40" s="67"/>
      <c r="H40" s="67"/>
      <c r="I40" s="63"/>
    </row>
  </sheetData>
  <mergeCells count="6">
    <mergeCell ref="B1:H1"/>
    <mergeCell ref="B2:H2"/>
    <mergeCell ref="B4:H4"/>
    <mergeCell ref="B15:H15"/>
    <mergeCell ref="B28:H28"/>
    <mergeCell ref="F40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68" width="32"/>
    <col collapsed="false" customWidth="true" hidden="false" outlineLevel="0" max="4" min="2" style="68" width="18"/>
    <col collapsed="false" customWidth="true" hidden="false" outlineLevel="0" max="5" min="5" style="68" width="2"/>
  </cols>
  <sheetData>
    <row r="1" customFormat="false" ht="36" hidden="false" customHeight="true" outlineLevel="0" collapsed="false">
      <c r="A1" s="69" t="s">
        <v>111</v>
      </c>
      <c r="B1" s="69"/>
      <c r="C1" s="69"/>
      <c r="D1" s="69"/>
    </row>
    <row r="2" customFormat="false" ht="18" hidden="false" customHeight="true" outlineLevel="0" collapsed="false">
      <c r="A2" s="70" t="s">
        <v>112</v>
      </c>
      <c r="B2" s="70"/>
      <c r="C2" s="70"/>
      <c r="D2" s="70"/>
    </row>
    <row r="4" customFormat="false" ht="30" hidden="false" customHeight="true" outlineLevel="0" collapsed="false">
      <c r="A4" s="71" t="s">
        <v>113</v>
      </c>
      <c r="B4" s="72" t="s">
        <v>114</v>
      </c>
      <c r="C4" s="73" t="s">
        <v>115</v>
      </c>
      <c r="D4" s="74" t="s">
        <v>116</v>
      </c>
    </row>
    <row r="6" customFormat="false" ht="21.75" hidden="false" customHeight="true" outlineLevel="0" collapsed="false">
      <c r="A6" s="75" t="s">
        <v>117</v>
      </c>
      <c r="B6" s="75"/>
      <c r="C6" s="75"/>
      <c r="D6" s="75"/>
    </row>
    <row r="7" customFormat="false" ht="18" hidden="false" customHeight="true" outlineLevel="0" collapsed="false">
      <c r="A7" s="76" t="s">
        <v>118</v>
      </c>
      <c r="B7" s="77" t="n">
        <v>778311.89</v>
      </c>
      <c r="C7" s="77" t="n">
        <v>168512.87</v>
      </c>
      <c r="D7" s="77" t="n">
        <f aca="false">B7+C7</f>
        <v>946824.76</v>
      </c>
    </row>
    <row r="8" customFormat="false" ht="18" hidden="false" customHeight="true" outlineLevel="0" collapsed="false">
      <c r="A8" s="78" t="s">
        <v>119</v>
      </c>
      <c r="B8" s="79" t="n">
        <v>242467.97</v>
      </c>
      <c r="C8" s="79" t="n">
        <v>152137.2</v>
      </c>
      <c r="D8" s="79" t="n">
        <f aca="false">B8+C8</f>
        <v>394605.17</v>
      </c>
    </row>
    <row r="9" customFormat="false" ht="18" hidden="false" customHeight="true" outlineLevel="0" collapsed="false">
      <c r="A9" s="78" t="s">
        <v>120</v>
      </c>
      <c r="B9" s="79" t="n">
        <v>435278.97</v>
      </c>
      <c r="C9" s="79" t="n">
        <v>1722.95</v>
      </c>
      <c r="D9" s="79" t="n">
        <f aca="false">B9+C9</f>
        <v>437001.92</v>
      </c>
    </row>
    <row r="10" customFormat="false" ht="18" hidden="false" customHeight="true" outlineLevel="0" collapsed="false">
      <c r="A10" s="78" t="s">
        <v>121</v>
      </c>
      <c r="B10" s="79" t="n">
        <v>110470.81</v>
      </c>
      <c r="C10" s="79" t="n">
        <v>14640.42</v>
      </c>
      <c r="D10" s="79" t="n">
        <f aca="false">B10+C10</f>
        <v>125111.23</v>
      </c>
    </row>
    <row r="11" customFormat="false" ht="18" hidden="false" customHeight="true" outlineLevel="0" collapsed="false">
      <c r="A11" s="78" t="s">
        <v>122</v>
      </c>
      <c r="B11" s="79" t="n">
        <v>-9355.92</v>
      </c>
      <c r="C11" s="79" t="n">
        <v>-19638.46</v>
      </c>
      <c r="D11" s="79" t="n">
        <f aca="false">B11+C11</f>
        <v>-28994.38</v>
      </c>
    </row>
    <row r="12" customFormat="false" ht="18" hidden="false" customHeight="true" outlineLevel="0" collapsed="false">
      <c r="A12" s="76" t="s">
        <v>123</v>
      </c>
      <c r="B12" s="77" t="n">
        <v>203086.46</v>
      </c>
      <c r="C12" s="77" t="n">
        <v>49741.52</v>
      </c>
      <c r="D12" s="77" t="n">
        <f aca="false">B12+C12</f>
        <v>252827.98</v>
      </c>
    </row>
    <row r="13" customFormat="false" ht="18" hidden="false" customHeight="true" outlineLevel="0" collapsed="false">
      <c r="A13" s="76" t="s">
        <v>124</v>
      </c>
      <c r="B13" s="77" t="n">
        <v>575225.43</v>
      </c>
      <c r="C13" s="77" t="n">
        <v>118771.35</v>
      </c>
      <c r="D13" s="77" t="n">
        <f aca="false">B13+C13</f>
        <v>693996.78</v>
      </c>
    </row>
    <row r="14" customFormat="false" ht="18" hidden="false" customHeight="true" outlineLevel="0" collapsed="false">
      <c r="A14" s="76" t="s">
        <v>125</v>
      </c>
      <c r="B14" s="77" t="n">
        <v>415297.48</v>
      </c>
      <c r="C14" s="77" t="n">
        <v>40625.58</v>
      </c>
      <c r="D14" s="77" t="n">
        <f aca="false">B14+C14</f>
        <v>455923.06</v>
      </c>
    </row>
    <row r="15" customFormat="false" ht="18" hidden="false" customHeight="true" outlineLevel="0" collapsed="false">
      <c r="A15" s="76" t="s">
        <v>126</v>
      </c>
      <c r="B15" s="77" t="n">
        <v>159927.95</v>
      </c>
      <c r="C15" s="77" t="n">
        <v>78145.77</v>
      </c>
      <c r="D15" s="77" t="n">
        <f aca="false">B15+C15</f>
        <v>238073.72</v>
      </c>
    </row>
    <row r="16" customFormat="false" ht="18" hidden="false" customHeight="true" outlineLevel="0" collapsed="false">
      <c r="A16" s="78" t="s">
        <v>127</v>
      </c>
      <c r="B16" s="79" t="n">
        <v>-64664.62</v>
      </c>
      <c r="C16" s="79" t="n">
        <v>199.84</v>
      </c>
      <c r="D16" s="79" t="n">
        <f aca="false">B16+C16</f>
        <v>-64464.78</v>
      </c>
    </row>
    <row r="17" customFormat="false" ht="18" hidden="false" customHeight="true" outlineLevel="0" collapsed="false">
      <c r="A17" s="76" t="s">
        <v>128</v>
      </c>
      <c r="B17" s="77" t="n">
        <v>95263.33</v>
      </c>
      <c r="C17" s="77" t="n">
        <v>78345.61</v>
      </c>
      <c r="D17" s="77" t="n">
        <f aca="false">B17+C17</f>
        <v>173608.94</v>
      </c>
    </row>
    <row r="18" customFormat="false" ht="21.75" hidden="false" customHeight="true" outlineLevel="0" collapsed="false">
      <c r="A18" s="75" t="s">
        <v>129</v>
      </c>
      <c r="B18" s="75"/>
      <c r="C18" s="75"/>
      <c r="D18" s="75"/>
    </row>
    <row r="19" customFormat="false" ht="18" hidden="false" customHeight="true" outlineLevel="0" collapsed="false">
      <c r="A19" s="80" t="s">
        <v>130</v>
      </c>
      <c r="B19" s="81" t="n">
        <f aca="false">B14/B7</f>
        <v>0.533587479949715</v>
      </c>
      <c r="C19" s="81" t="n">
        <f aca="false">C14/C7</f>
        <v>0.24108295111228</v>
      </c>
      <c r="D19" s="82" t="s">
        <v>17</v>
      </c>
    </row>
    <row r="20" customFormat="false" ht="18" hidden="false" customHeight="true" outlineLevel="0" collapsed="false">
      <c r="A20" s="80" t="s">
        <v>131</v>
      </c>
      <c r="B20" s="81" t="n">
        <f aca="false">B16/B7</f>
        <v>-0.0830831711950334</v>
      </c>
      <c r="C20" s="81" t="n">
        <f aca="false">C16/C7</f>
        <v>0.00118590348618476</v>
      </c>
      <c r="D20" s="82" t="s">
        <v>17</v>
      </c>
    </row>
    <row r="21" customFormat="false" ht="18" hidden="false" customHeight="true" outlineLevel="0" collapsed="false">
      <c r="A21" s="80" t="s">
        <v>132</v>
      </c>
      <c r="B21" s="81" t="n">
        <f aca="false">B18/B7</f>
        <v>0</v>
      </c>
      <c r="C21" s="81" t="n">
        <f aca="false">C18/C7</f>
        <v>0</v>
      </c>
      <c r="D21" s="82" t="s">
        <v>17</v>
      </c>
    </row>
    <row r="23" customFormat="false" ht="21.75" hidden="false" customHeight="true" outlineLevel="0" collapsed="false">
      <c r="A23" s="75" t="s">
        <v>133</v>
      </c>
      <c r="B23" s="75"/>
      <c r="C23" s="75"/>
      <c r="D23" s="75"/>
    </row>
    <row r="24" customFormat="false" ht="18" hidden="false" customHeight="true" outlineLevel="0" collapsed="false">
      <c r="A24" s="76" t="s">
        <v>134</v>
      </c>
      <c r="B24" s="77" t="n">
        <v>1495056.3</v>
      </c>
      <c r="C24" s="77" t="n">
        <v>1744557.49</v>
      </c>
      <c r="D24" s="77" t="n">
        <f aca="false">B24+C24</f>
        <v>3239613.79</v>
      </c>
    </row>
    <row r="25" customFormat="false" ht="18" hidden="false" customHeight="true" outlineLevel="0" collapsed="false">
      <c r="A25" s="78" t="s">
        <v>135</v>
      </c>
      <c r="B25" s="79" t="n">
        <v>323523.16</v>
      </c>
      <c r="C25" s="79" t="n">
        <v>1015281.66</v>
      </c>
      <c r="D25" s="79" t="n">
        <f aca="false">B25+C25</f>
        <v>1338804.82</v>
      </c>
    </row>
    <row r="26" customFormat="false" ht="18" hidden="false" customHeight="true" outlineLevel="0" collapsed="false">
      <c r="A26" s="78" t="s">
        <v>136</v>
      </c>
      <c r="B26" s="79" t="n">
        <v>1071843.72</v>
      </c>
      <c r="C26" s="79" t="n">
        <v>729275.83</v>
      </c>
      <c r="D26" s="79" t="n">
        <f aca="false">B26+C26</f>
        <v>1801119.55</v>
      </c>
    </row>
    <row r="27" customFormat="false" ht="18" hidden="false" customHeight="true" outlineLevel="0" collapsed="false">
      <c r="A27" s="78" t="s">
        <v>137</v>
      </c>
      <c r="B27" s="79" t="n">
        <v>99689.42</v>
      </c>
      <c r="C27" s="79" t="n">
        <v>0</v>
      </c>
      <c r="D27" s="79" t="n">
        <f aca="false">B27+C27</f>
        <v>99689.42</v>
      </c>
    </row>
    <row r="28" customFormat="false" ht="18" hidden="false" customHeight="true" outlineLevel="0" collapsed="false">
      <c r="A28" s="76" t="s">
        <v>138</v>
      </c>
      <c r="B28" s="77" t="n">
        <v>1563970.96</v>
      </c>
      <c r="C28" s="77" t="n">
        <v>20563.41</v>
      </c>
      <c r="D28" s="77" t="n">
        <f aca="false">B28+C28</f>
        <v>1584534.37</v>
      </c>
    </row>
    <row r="29" customFormat="false" ht="18" hidden="false" customHeight="true" outlineLevel="0" collapsed="false">
      <c r="A29" s="78" t="s">
        <v>139</v>
      </c>
      <c r="B29" s="79" t="n">
        <v>255863.61</v>
      </c>
      <c r="C29" s="79" t="n">
        <v>20563.41</v>
      </c>
      <c r="D29" s="79" t="n">
        <f aca="false">B29+C29</f>
        <v>276427.02</v>
      </c>
    </row>
    <row r="30" customFormat="false" ht="18" hidden="false" customHeight="true" outlineLevel="0" collapsed="false">
      <c r="A30" s="78" t="s">
        <v>140</v>
      </c>
      <c r="B30" s="79" t="n">
        <v>1308107.35</v>
      </c>
      <c r="C30" s="79" t="n">
        <v>0</v>
      </c>
      <c r="D30" s="79" t="n">
        <f aca="false">B30+C30</f>
        <v>1308107.35</v>
      </c>
    </row>
    <row r="31" customFormat="false" ht="18" hidden="false" customHeight="true" outlineLevel="0" collapsed="false">
      <c r="A31" s="76" t="s">
        <v>141</v>
      </c>
      <c r="B31" s="77" t="n">
        <v>-68914.66</v>
      </c>
      <c r="C31" s="77" t="n">
        <v>1723994.08</v>
      </c>
      <c r="D31" s="77" t="n">
        <f aca="false">B31+C31</f>
        <v>1655079.42</v>
      </c>
    </row>
    <row r="33" customFormat="false" ht="21.75" hidden="false" customHeight="true" outlineLevel="0" collapsed="false">
      <c r="A33" s="75" t="s">
        <v>142</v>
      </c>
      <c r="B33" s="75"/>
      <c r="C33" s="75"/>
      <c r="D33" s="75"/>
    </row>
    <row r="34" customFormat="false" ht="18" hidden="false" customHeight="true" outlineLevel="0" collapsed="false">
      <c r="A34" s="76" t="s">
        <v>143</v>
      </c>
      <c r="B34" s="77" t="n">
        <v>116124.96</v>
      </c>
      <c r="C34" s="82" t="s">
        <v>17</v>
      </c>
      <c r="D34" s="82" t="s">
        <v>17</v>
      </c>
    </row>
    <row r="35" customFormat="false" ht="18" hidden="false" customHeight="true" outlineLevel="0" collapsed="false">
      <c r="A35" s="78" t="s">
        <v>144</v>
      </c>
      <c r="B35" s="79" t="n">
        <v>-26803</v>
      </c>
      <c r="C35" s="82" t="s">
        <v>17</v>
      </c>
      <c r="D35" s="82" t="s">
        <v>17</v>
      </c>
    </row>
    <row r="36" customFormat="false" ht="18" hidden="false" customHeight="true" outlineLevel="0" collapsed="false">
      <c r="A36" s="78" t="s">
        <v>145</v>
      </c>
      <c r="B36" s="79" t="n">
        <v>-94136.38</v>
      </c>
      <c r="C36" s="82" t="s">
        <v>17</v>
      </c>
      <c r="D36" s="82" t="s">
        <v>17</v>
      </c>
    </row>
    <row r="37" customFormat="false" ht="18" hidden="false" customHeight="true" outlineLevel="0" collapsed="false">
      <c r="A37" s="76" t="s">
        <v>146</v>
      </c>
      <c r="B37" s="77" t="n">
        <v>-4814.42</v>
      </c>
      <c r="C37" s="82" t="s">
        <v>17</v>
      </c>
      <c r="D37" s="82" t="s">
        <v>17</v>
      </c>
    </row>
    <row r="38" customFormat="false" ht="18" hidden="false" customHeight="true" outlineLevel="0" collapsed="false">
      <c r="A38" s="11" t="s">
        <v>147</v>
      </c>
      <c r="B38" s="79" t="n">
        <v>58665.78</v>
      </c>
      <c r="C38" s="82" t="s">
        <v>17</v>
      </c>
      <c r="D38" s="82" t="s">
        <v>17</v>
      </c>
    </row>
  </sheetData>
  <mergeCells count="6">
    <mergeCell ref="A1:D1"/>
    <mergeCell ref="A2:D2"/>
    <mergeCell ref="A6:D6"/>
    <mergeCell ref="A18:D18"/>
    <mergeCell ref="A23:D23"/>
    <mergeCell ref="A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68" width="36"/>
    <col collapsed="false" customWidth="true" hidden="false" outlineLevel="0" max="4" min="2" style="68" width="18"/>
    <col collapsed="false" customWidth="true" hidden="false" outlineLevel="0" max="5" min="5" style="68" width="14"/>
  </cols>
  <sheetData>
    <row r="1" customFormat="false" ht="36" hidden="false" customHeight="true" outlineLevel="0" collapsed="false">
      <c r="A1" s="83" t="s">
        <v>148</v>
      </c>
      <c r="B1" s="83"/>
      <c r="C1" s="83"/>
      <c r="D1" s="83"/>
      <c r="E1" s="83"/>
    </row>
    <row r="2" customFormat="false" ht="18" hidden="false" customHeight="true" outlineLevel="0" collapsed="false">
      <c r="A2" s="84" t="s">
        <v>149</v>
      </c>
      <c r="B2" s="84"/>
      <c r="C2" s="84"/>
      <c r="D2" s="84"/>
      <c r="E2" s="84"/>
    </row>
    <row r="4" customFormat="false" ht="30" hidden="false" customHeight="true" outlineLevel="0" collapsed="false">
      <c r="A4" s="71" t="s">
        <v>150</v>
      </c>
      <c r="B4" s="72" t="s">
        <v>151</v>
      </c>
      <c r="C4" s="73" t="s">
        <v>152</v>
      </c>
      <c r="D4" s="74" t="s">
        <v>153</v>
      </c>
      <c r="E4" s="85" t="s">
        <v>154</v>
      </c>
    </row>
    <row r="6" customFormat="false" ht="15" hidden="false" customHeight="true" outlineLevel="0" collapsed="false">
      <c r="A6" s="75" t="s">
        <v>155</v>
      </c>
      <c r="B6" s="75"/>
      <c r="C6" s="75"/>
      <c r="D6" s="75"/>
      <c r="E6" s="75"/>
    </row>
    <row r="7" customFormat="false" ht="18" hidden="false" customHeight="true" outlineLevel="0" collapsed="false">
      <c r="A7" s="11" t="s">
        <v>156</v>
      </c>
      <c r="B7" s="86" t="n">
        <v>161224.07</v>
      </c>
      <c r="C7" s="86" t="n">
        <v>113734.19</v>
      </c>
      <c r="D7" s="86" t="n">
        <f aca="false">B7+C7</f>
        <v>274958.26</v>
      </c>
      <c r="E7" s="87" t="n">
        <f aca="false">IF(B$7=0,"-",B7/B$7)</f>
        <v>1</v>
      </c>
    </row>
    <row r="8" customFormat="false" ht="18" hidden="false" customHeight="true" outlineLevel="0" collapsed="false">
      <c r="A8" s="11" t="s">
        <v>157</v>
      </c>
      <c r="B8" s="86" t="n">
        <v>51454.09</v>
      </c>
      <c r="C8" s="86" t="n">
        <v>33298.02</v>
      </c>
      <c r="D8" s="86" t="n">
        <f aca="false">B8+C8</f>
        <v>84752.11</v>
      </c>
      <c r="E8" s="87" t="n">
        <f aca="false">IF(B$7=0,"-",B8/B$7)</f>
        <v>0.319146452511712</v>
      </c>
    </row>
    <row r="9" customFormat="false" ht="18" hidden="false" customHeight="true" outlineLevel="0" collapsed="false">
      <c r="A9" s="11" t="s">
        <v>158</v>
      </c>
      <c r="B9" s="86" t="n">
        <v>6106</v>
      </c>
      <c r="C9" s="86" t="n">
        <v>5104.99</v>
      </c>
      <c r="D9" s="86" t="n">
        <f aca="false">B9+C9</f>
        <v>11210.99</v>
      </c>
      <c r="E9" s="87" t="n">
        <f aca="false">IF(B$7=0,"-",B9/B$7)</f>
        <v>0.0378727568408365</v>
      </c>
    </row>
    <row r="10" customFormat="false" ht="18" hidden="false" customHeight="true" outlineLevel="0" collapsed="false">
      <c r="A10" s="11" t="s">
        <v>159</v>
      </c>
      <c r="B10" s="86" t="n">
        <v>22940.61</v>
      </c>
      <c r="C10" s="86" t="n">
        <v>0</v>
      </c>
      <c r="D10" s="86" t="n">
        <f aca="false">B10+C10</f>
        <v>22940.61</v>
      </c>
      <c r="E10" s="87" t="n">
        <f aca="false">IF(B$7=0,"-",B10/B$7)</f>
        <v>0.142290229988612</v>
      </c>
    </row>
    <row r="11" customFormat="false" ht="18" hidden="false" customHeight="true" outlineLevel="0" collapsed="false">
      <c r="A11" s="11" t="s">
        <v>160</v>
      </c>
      <c r="B11" s="86" t="n">
        <v>0</v>
      </c>
      <c r="C11" s="86" t="n">
        <v>8059</v>
      </c>
      <c r="D11" s="86" t="n">
        <f aca="false">B11+C11</f>
        <v>8059</v>
      </c>
      <c r="E11" s="87" t="n">
        <f aca="false">IF(B$7=0,"-",B11/B$7)</f>
        <v>0</v>
      </c>
    </row>
    <row r="12" customFormat="false" ht="18" hidden="false" customHeight="true" outlineLevel="0" collapsed="false">
      <c r="A12" s="11" t="s">
        <v>161</v>
      </c>
      <c r="B12" s="86" t="n">
        <v>743.2</v>
      </c>
      <c r="C12" s="86" t="n">
        <v>0</v>
      </c>
      <c r="D12" s="86" t="n">
        <f aca="false">B12+C12</f>
        <v>743.2</v>
      </c>
      <c r="E12" s="87" t="n">
        <f aca="false">IF(B$7=0,"-",B12/B$7)</f>
        <v>0.00460973352179982</v>
      </c>
    </row>
    <row r="13" customFormat="false" ht="18" hidden="false" customHeight="true" outlineLevel="0" collapsed="false">
      <c r="A13" s="76" t="s">
        <v>162</v>
      </c>
      <c r="B13" s="77" t="n">
        <v>242467.97</v>
      </c>
      <c r="C13" s="77" t="n">
        <v>152137.2</v>
      </c>
      <c r="D13" s="77" t="n">
        <f aca="false">B13+C13</f>
        <v>394605.17</v>
      </c>
      <c r="E13" s="88" t="n">
        <f aca="false">IF(B$7=0,"-",B13/B$7)</f>
        <v>1.50391917286296</v>
      </c>
    </row>
    <row r="14" customFormat="false" ht="18" hidden="false" customHeight="true" outlineLevel="0" collapsed="false">
      <c r="A14" s="11" t="s">
        <v>163</v>
      </c>
      <c r="B14" s="86" t="n">
        <v>194895.14</v>
      </c>
      <c r="C14" s="86" t="n">
        <v>0</v>
      </c>
      <c r="D14" s="86" t="n">
        <f aca="false">B14+C14</f>
        <v>194895.14</v>
      </c>
      <c r="E14" s="87" t="n">
        <f aca="false">IF(B$7=0,"-",B14/B$7)</f>
        <v>1.20884642100897</v>
      </c>
    </row>
    <row r="15" customFormat="false" ht="18" hidden="false" customHeight="true" outlineLevel="0" collapsed="false">
      <c r="A15" s="11" t="s">
        <v>164</v>
      </c>
      <c r="B15" s="86" t="n">
        <v>230065.83</v>
      </c>
      <c r="C15" s="86" t="n">
        <v>0</v>
      </c>
      <c r="D15" s="86" t="n">
        <f aca="false">B15+C15</f>
        <v>230065.83</v>
      </c>
      <c r="E15" s="87" t="n">
        <f aca="false">IF(B$7=0,"-",B15/B$7)</f>
        <v>1.4269943067434</v>
      </c>
    </row>
    <row r="16" customFormat="false" ht="18" hidden="false" customHeight="true" outlineLevel="0" collapsed="false">
      <c r="A16" s="11" t="s">
        <v>165</v>
      </c>
      <c r="B16" s="86" t="n">
        <v>10318</v>
      </c>
      <c r="C16" s="86" t="n">
        <v>0</v>
      </c>
      <c r="D16" s="86" t="n">
        <f aca="false">B16+C16</f>
        <v>10318</v>
      </c>
      <c r="E16" s="87" t="n">
        <f aca="false">IF(B$7=0,"-",B16/B$7)</f>
        <v>0.0639978881565265</v>
      </c>
    </row>
    <row r="17" customFormat="false" ht="18" hidden="false" customHeight="true" outlineLevel="0" collapsed="false">
      <c r="A17" s="11" t="s">
        <v>166</v>
      </c>
      <c r="B17" s="86" t="n">
        <v>0</v>
      </c>
      <c r="C17" s="86" t="n">
        <v>1722.95</v>
      </c>
      <c r="D17" s="86" t="n">
        <f aca="false">B17+C17</f>
        <v>1722.95</v>
      </c>
      <c r="E17" s="87" t="n">
        <f aca="false">IF(B$7=0,"-",B17/B$7)</f>
        <v>0</v>
      </c>
    </row>
    <row r="18" customFormat="false" ht="18" hidden="false" customHeight="true" outlineLevel="0" collapsed="false">
      <c r="A18" s="76" t="s">
        <v>167</v>
      </c>
      <c r="B18" s="77" t="n">
        <v>435278.97</v>
      </c>
      <c r="C18" s="77" t="n">
        <v>1722.95</v>
      </c>
      <c r="D18" s="77" t="n">
        <f aca="false">B18+C18</f>
        <v>437001.92</v>
      </c>
      <c r="E18" s="88" t="n">
        <f aca="false">IF(B$7=0,"-",B18/B$7)</f>
        <v>2.6998386159089</v>
      </c>
    </row>
    <row r="19" customFormat="false" ht="18" hidden="false" customHeight="true" outlineLevel="0" collapsed="false">
      <c r="A19" s="11" t="s">
        <v>168</v>
      </c>
      <c r="B19" s="86" t="n">
        <v>94835.61</v>
      </c>
      <c r="C19" s="86" t="n">
        <v>0</v>
      </c>
      <c r="D19" s="86" t="n">
        <f aca="false">B19+C19</f>
        <v>94835.61</v>
      </c>
      <c r="E19" s="87" t="n">
        <f aca="false">IF(B$7=0,"-",B19/B$7)</f>
        <v>0.588222403763904</v>
      </c>
    </row>
    <row r="20" customFormat="false" ht="18" hidden="false" customHeight="true" outlineLevel="0" collapsed="false">
      <c r="A20" s="11" t="s">
        <v>169</v>
      </c>
      <c r="B20" s="86" t="n">
        <v>8435.69</v>
      </c>
      <c r="C20" s="86" t="n">
        <v>0</v>
      </c>
      <c r="D20" s="86" t="n">
        <f aca="false">B20+C20</f>
        <v>8435.69</v>
      </c>
      <c r="E20" s="87" t="n">
        <f aca="false">IF(B$7=0,"-",B20/B$7)</f>
        <v>0.0523227704151123</v>
      </c>
    </row>
    <row r="21" customFormat="false" ht="18" hidden="false" customHeight="true" outlineLevel="0" collapsed="false">
      <c r="A21" s="11" t="s">
        <v>170</v>
      </c>
      <c r="B21" s="86" t="n">
        <v>6335.51</v>
      </c>
      <c r="C21" s="86" t="n">
        <v>-5061.45</v>
      </c>
      <c r="D21" s="86" t="n">
        <f aca="false">B21+C21</f>
        <v>1274.06</v>
      </c>
      <c r="E21" s="87" t="n">
        <f aca="false">IF(B$7=0,"-",B21/B$7)</f>
        <v>0.0392963035854386</v>
      </c>
    </row>
    <row r="22" customFormat="false" ht="18" hidden="false" customHeight="true" outlineLevel="0" collapsed="false">
      <c r="A22" s="11" t="s">
        <v>171</v>
      </c>
      <c r="B22" s="86" t="n">
        <v>864</v>
      </c>
      <c r="C22" s="86" t="n">
        <v>0</v>
      </c>
      <c r="D22" s="86" t="n">
        <f aca="false">B22+C22</f>
        <v>864</v>
      </c>
      <c r="E22" s="87" t="n">
        <f aca="false">IF(B$7=0,"-",B22/B$7)</f>
        <v>0.00535900129552616</v>
      </c>
    </row>
    <row r="23" customFormat="false" ht="18" hidden="false" customHeight="true" outlineLevel="0" collapsed="false">
      <c r="A23" s="11" t="s">
        <v>172</v>
      </c>
      <c r="B23" s="86" t="n">
        <v>0</v>
      </c>
      <c r="C23" s="86" t="n">
        <v>36008.15</v>
      </c>
      <c r="D23" s="86" t="n">
        <f aca="false">B23+C23</f>
        <v>36008.15</v>
      </c>
      <c r="E23" s="87" t="n">
        <f aca="false">IF(B$7=0,"-",B23/B$7)</f>
        <v>0</v>
      </c>
    </row>
    <row r="24" customFormat="false" ht="18" hidden="false" customHeight="true" outlineLevel="0" collapsed="false">
      <c r="A24" s="11" t="s">
        <v>173</v>
      </c>
      <c r="B24" s="86" t="n">
        <v>0</v>
      </c>
      <c r="C24" s="86" t="n">
        <v>5694.27</v>
      </c>
      <c r="D24" s="86" t="n">
        <f aca="false">B24+C24</f>
        <v>5694.27</v>
      </c>
      <c r="E24" s="87" t="n">
        <f aca="false">IF(B$7=0,"-",B24/B$7)</f>
        <v>0</v>
      </c>
    </row>
    <row r="25" customFormat="false" ht="18" hidden="false" customHeight="true" outlineLevel="0" collapsed="false">
      <c r="A25" s="11" t="s">
        <v>174</v>
      </c>
      <c r="B25" s="86" t="n">
        <v>-549.94</v>
      </c>
      <c r="C25" s="86" t="n">
        <v>0</v>
      </c>
      <c r="D25" s="86" t="n">
        <f aca="false">B25+C25</f>
        <v>-549.94</v>
      </c>
      <c r="E25" s="87" t="n">
        <f aca="false">IF(B$7=0,"-",B25/B$7)</f>
        <v>-0.00341102913479358</v>
      </c>
    </row>
    <row r="26" customFormat="false" ht="18" hidden="false" customHeight="true" outlineLevel="0" collapsed="false">
      <c r="A26" s="76" t="s">
        <v>175</v>
      </c>
      <c r="B26" s="77" t="n">
        <v>110470.81</v>
      </c>
      <c r="C26" s="77" t="n">
        <v>36640.97</v>
      </c>
      <c r="D26" s="77" t="n">
        <f aca="false">B26+C26</f>
        <v>147111.78</v>
      </c>
      <c r="E26" s="88" t="n">
        <f aca="false">IF(B$7=0,"-",B26/B$7)</f>
        <v>0.685200479059982</v>
      </c>
    </row>
    <row r="27" customFormat="false" ht="18" hidden="false" customHeight="true" outlineLevel="0" collapsed="false">
      <c r="A27" s="11" t="s">
        <v>176</v>
      </c>
      <c r="B27" s="86" t="n">
        <v>-9355.92</v>
      </c>
      <c r="C27" s="86" t="n">
        <v>-19638.46</v>
      </c>
      <c r="D27" s="86" t="n">
        <f aca="false">B27+C27</f>
        <v>-28994.38</v>
      </c>
      <c r="E27" s="87" t="n">
        <f aca="false">IF(B$7=0,"-",B27/B$7)</f>
        <v>-0.0580305409731934</v>
      </c>
    </row>
    <row r="28" customFormat="false" ht="18" hidden="false" customHeight="true" outlineLevel="0" collapsed="false">
      <c r="A28" s="89" t="s">
        <v>177</v>
      </c>
      <c r="B28" s="90" t="n">
        <v>778311.89</v>
      </c>
      <c r="C28" s="90" t="n">
        <v>168512.87</v>
      </c>
      <c r="D28" s="90" t="n">
        <f aca="false">B28+C28</f>
        <v>946824.76</v>
      </c>
      <c r="E28" s="91" t="n">
        <f aca="false">IF(B$7=0,"-",B28/B$7)</f>
        <v>4.82751669772386</v>
      </c>
    </row>
    <row r="30" customFormat="false" ht="15" hidden="false" customHeight="true" outlineLevel="0" collapsed="false">
      <c r="A30" s="75" t="s">
        <v>178</v>
      </c>
      <c r="B30" s="75"/>
      <c r="C30" s="75"/>
      <c r="D30" s="75"/>
      <c r="E30" s="75"/>
    </row>
    <row r="31" customFormat="false" ht="18" hidden="false" customHeight="true" outlineLevel="0" collapsed="false">
      <c r="A31" s="11" t="s">
        <v>179</v>
      </c>
      <c r="B31" s="86" t="n">
        <v>107372.43</v>
      </c>
      <c r="C31" s="86" t="n">
        <v>19058.45</v>
      </c>
      <c r="D31" s="86" t="n">
        <f aca="false">B31+C31</f>
        <v>126430.88</v>
      </c>
      <c r="E31" s="87" t="n">
        <f aca="false">IF(B$7=0,"-",B31/B$7)</f>
        <v>0.665982629020592</v>
      </c>
    </row>
    <row r="32" customFormat="false" ht="18" hidden="false" customHeight="true" outlineLevel="0" collapsed="false">
      <c r="A32" s="11" t="s">
        <v>180</v>
      </c>
      <c r="B32" s="86" t="n">
        <v>72510.09</v>
      </c>
      <c r="C32" s="86" t="n">
        <v>30683.07</v>
      </c>
      <c r="D32" s="86" t="n">
        <f aca="false">B32+C32</f>
        <v>103193.16</v>
      </c>
      <c r="E32" s="87" t="n">
        <f aca="false">IF(B$7=0,"-",B32/B$7)</f>
        <v>0.44974729889898</v>
      </c>
    </row>
    <row r="33" customFormat="false" ht="18" hidden="false" customHeight="true" outlineLevel="0" collapsed="false">
      <c r="A33" s="11" t="s">
        <v>181</v>
      </c>
      <c r="B33" s="86" t="n">
        <v>11798</v>
      </c>
      <c r="C33" s="86" t="n">
        <v>0</v>
      </c>
      <c r="D33" s="86" t="n">
        <f aca="false">B33+C33</f>
        <v>11798</v>
      </c>
      <c r="E33" s="87" t="n">
        <f aca="false">IF(B$7=0,"-",B33/B$7)</f>
        <v>0.0731776588942334</v>
      </c>
    </row>
    <row r="34" customFormat="false" ht="18" hidden="false" customHeight="true" outlineLevel="0" collapsed="false">
      <c r="A34" s="11" t="s">
        <v>182</v>
      </c>
      <c r="B34" s="86" t="n">
        <v>3010</v>
      </c>
      <c r="C34" s="86" t="n">
        <v>0</v>
      </c>
      <c r="D34" s="86" t="n">
        <f aca="false">B34+C34</f>
        <v>3010</v>
      </c>
      <c r="E34" s="87" t="n">
        <f aca="false">IF(B$7=0,"-",B34/B$7)</f>
        <v>0.0186696688652011</v>
      </c>
    </row>
    <row r="35" customFormat="false" ht="18" hidden="false" customHeight="true" outlineLevel="0" collapsed="false">
      <c r="A35" s="11" t="s">
        <v>183</v>
      </c>
      <c r="B35" s="86" t="n">
        <v>8395.94</v>
      </c>
      <c r="C35" s="86" t="n">
        <v>0</v>
      </c>
      <c r="D35" s="86" t="n">
        <f aca="false">B35+C35</f>
        <v>8395.94</v>
      </c>
      <c r="E35" s="87" t="n">
        <f aca="false">IF(B$7=0,"-",B35/B$7)</f>
        <v>0.0520762191402314</v>
      </c>
    </row>
    <row r="36" customFormat="false" ht="18" hidden="false" customHeight="true" outlineLevel="0" collapsed="false">
      <c r="A36" s="76" t="s">
        <v>184</v>
      </c>
      <c r="B36" s="77" t="n">
        <v>203086.46</v>
      </c>
      <c r="C36" s="77" t="n">
        <v>49741.52</v>
      </c>
      <c r="D36" s="77" t="n">
        <f aca="false">B36+C36</f>
        <v>252827.98</v>
      </c>
      <c r="E36" s="88" t="n">
        <f aca="false">IF(B$7=0,"-",B36/B$7)</f>
        <v>1.25965347481924</v>
      </c>
    </row>
    <row r="37" customFormat="false" ht="18" hidden="false" customHeight="true" outlineLevel="0" collapsed="false">
      <c r="A37" s="92" t="s">
        <v>185</v>
      </c>
      <c r="B37" s="93" t="n">
        <v>575225.43</v>
      </c>
      <c r="C37" s="93" t="n">
        <v>118771.35</v>
      </c>
      <c r="D37" s="93" t="n">
        <f aca="false">B37+C37</f>
        <v>693996.78</v>
      </c>
      <c r="E37" s="94" t="n">
        <f aca="false">IF(B$7=0,"-",B37/B$7)</f>
        <v>3.56786322290462</v>
      </c>
    </row>
    <row r="39" customFormat="false" ht="15" hidden="false" customHeight="true" outlineLevel="0" collapsed="false">
      <c r="A39" s="75" t="s">
        <v>186</v>
      </c>
      <c r="B39" s="75"/>
      <c r="C39" s="75"/>
      <c r="D39" s="75"/>
      <c r="E39" s="75"/>
    </row>
    <row r="40" customFormat="false" ht="18" hidden="false" customHeight="true" outlineLevel="0" collapsed="false">
      <c r="A40" s="11" t="s">
        <v>187</v>
      </c>
      <c r="B40" s="86" t="n">
        <v>174150.96</v>
      </c>
      <c r="C40" s="86" t="n">
        <v>4423.08</v>
      </c>
      <c r="D40" s="86" t="n">
        <f aca="false">B40+C40</f>
        <v>178574.04</v>
      </c>
      <c r="E40" s="87" t="n">
        <f aca="false">IF(B$7=0,"-",B40/B$7)</f>
        <v>1.08017965307538</v>
      </c>
    </row>
    <row r="41" customFormat="false" ht="18" hidden="false" customHeight="true" outlineLevel="0" collapsed="false">
      <c r="A41" s="11" t="s">
        <v>188</v>
      </c>
      <c r="B41" s="86" t="n">
        <v>29342.91</v>
      </c>
      <c r="C41" s="86" t="n">
        <v>546.25</v>
      </c>
      <c r="D41" s="86" t="n">
        <f aca="false">B41+C41</f>
        <v>29889.16</v>
      </c>
      <c r="E41" s="87" t="n">
        <f aca="false">IF(B$7=0,"-",B41/B$7)</f>
        <v>0.182000801741328</v>
      </c>
    </row>
    <row r="42" customFormat="false" ht="18" hidden="false" customHeight="true" outlineLevel="0" collapsed="false">
      <c r="A42" s="11" t="s">
        <v>189</v>
      </c>
      <c r="B42" s="86" t="n">
        <v>7952.88</v>
      </c>
      <c r="C42" s="86" t="n">
        <v>5200.79</v>
      </c>
      <c r="D42" s="86" t="n">
        <f aca="false">B42+C42</f>
        <v>13153.67</v>
      </c>
      <c r="E42" s="87" t="n">
        <f aca="false">IF(B$7=0,"-",B42/B$7)</f>
        <v>0.0493281183138473</v>
      </c>
    </row>
    <row r="43" customFormat="false" ht="18" hidden="false" customHeight="true" outlineLevel="0" collapsed="false">
      <c r="A43" s="11" t="s">
        <v>190</v>
      </c>
      <c r="B43" s="86" t="n">
        <v>31064.97</v>
      </c>
      <c r="C43" s="86" t="n">
        <v>5582.17</v>
      </c>
      <c r="D43" s="86" t="n">
        <f aca="false">B43+C43</f>
        <v>36647.14</v>
      </c>
      <c r="E43" s="87" t="n">
        <f aca="false">IF(B$7=0,"-",B43/B$7)</f>
        <v>0.192681961198474</v>
      </c>
    </row>
    <row r="44" customFormat="false" ht="18" hidden="false" customHeight="true" outlineLevel="0" collapsed="false">
      <c r="A44" s="11" t="s">
        <v>191</v>
      </c>
      <c r="B44" s="86" t="n">
        <v>23953.39</v>
      </c>
      <c r="C44" s="86" t="n">
        <v>1669.73</v>
      </c>
      <c r="D44" s="86" t="n">
        <f aca="false">B44+C44</f>
        <v>25623.12</v>
      </c>
      <c r="E44" s="87" t="n">
        <f aca="false">IF(B$7=0,"-",B44/B$7)</f>
        <v>0.148572046345189</v>
      </c>
    </row>
    <row r="45" customFormat="false" ht="18" hidden="false" customHeight="true" outlineLevel="0" collapsed="false">
      <c r="A45" s="11" t="s">
        <v>192</v>
      </c>
      <c r="B45" s="86" t="n">
        <v>17216.9</v>
      </c>
      <c r="C45" s="86" t="n">
        <v>1430.86</v>
      </c>
      <c r="D45" s="86" t="n">
        <f aca="false">B45+C45</f>
        <v>18647.76</v>
      </c>
      <c r="E45" s="87" t="n">
        <f aca="false">IF(B$7=0,"-",B45/B$7)</f>
        <v>0.106788645144611</v>
      </c>
    </row>
    <row r="46" customFormat="false" ht="18" hidden="false" customHeight="true" outlineLevel="0" collapsed="false">
      <c r="A46" s="11" t="s">
        <v>193</v>
      </c>
      <c r="B46" s="86" t="n">
        <v>22846.45</v>
      </c>
      <c r="C46" s="86" t="n">
        <v>105.06</v>
      </c>
      <c r="D46" s="86" t="n">
        <f aca="false">B46+C46</f>
        <v>22951.51</v>
      </c>
      <c r="E46" s="87" t="n">
        <f aca="false">IF(B$7=0,"-",B46/B$7)</f>
        <v>0.141706198088164</v>
      </c>
    </row>
    <row r="47" customFormat="false" ht="18" hidden="false" customHeight="true" outlineLevel="0" collapsed="false">
      <c r="A47" s="11" t="s">
        <v>194</v>
      </c>
      <c r="B47" s="86" t="n">
        <v>15845.61</v>
      </c>
      <c r="C47" s="86" t="n">
        <v>0</v>
      </c>
      <c r="D47" s="86" t="n">
        <f aca="false">B47+C47</f>
        <v>15845.61</v>
      </c>
      <c r="E47" s="87" t="n">
        <f aca="false">IF(B$7=0,"-",B47/B$7)</f>
        <v>0.0982831533777804</v>
      </c>
    </row>
    <row r="48" customFormat="false" ht="18" hidden="false" customHeight="true" outlineLevel="0" collapsed="false">
      <c r="A48" s="11" t="s">
        <v>195</v>
      </c>
      <c r="B48" s="86" t="n">
        <v>48316.35</v>
      </c>
      <c r="C48" s="86" t="n">
        <v>0</v>
      </c>
      <c r="D48" s="86" t="n">
        <f aca="false">B48+C48</f>
        <v>48316.35</v>
      </c>
      <c r="E48" s="87" t="n">
        <f aca="false">IF(B$7=0,"-",B48/B$7)</f>
        <v>0.299684470191082</v>
      </c>
    </row>
    <row r="49" customFormat="false" ht="18" hidden="false" customHeight="true" outlineLevel="0" collapsed="false">
      <c r="A49" s="11" t="s">
        <v>196</v>
      </c>
      <c r="B49" s="86" t="n">
        <v>24497.76</v>
      </c>
      <c r="C49" s="86" t="n">
        <v>0</v>
      </c>
      <c r="D49" s="86" t="n">
        <f aca="false">B49+C49</f>
        <v>24497.76</v>
      </c>
      <c r="E49" s="87" t="n">
        <f aca="false">IF(B$7=0,"-",B49/B$7)</f>
        <v>0.15194852728876</v>
      </c>
    </row>
    <row r="50" customFormat="false" ht="18" hidden="false" customHeight="true" outlineLevel="0" collapsed="false">
      <c r="A50" s="11" t="s">
        <v>197</v>
      </c>
      <c r="B50" s="86" t="n">
        <v>4007.89</v>
      </c>
      <c r="C50" s="86" t="n">
        <v>0</v>
      </c>
      <c r="D50" s="86" t="n">
        <f aca="false">B50+C50</f>
        <v>4007.89</v>
      </c>
      <c r="E50" s="87" t="n">
        <f aca="false">IF(B$7=0,"-",B50/B$7)</f>
        <v>0.0248591292850999</v>
      </c>
    </row>
    <row r="51" customFormat="false" ht="18" hidden="false" customHeight="true" outlineLevel="0" collapsed="false">
      <c r="A51" s="11" t="s">
        <v>198</v>
      </c>
      <c r="B51" s="86" t="n">
        <v>0</v>
      </c>
      <c r="C51" s="86" t="n">
        <v>5467.05</v>
      </c>
      <c r="D51" s="86" t="n">
        <f aca="false">B51+C51</f>
        <v>5467.05</v>
      </c>
      <c r="E51" s="87" t="n">
        <f aca="false">IF(B$7=0,"-",B51/B$7)</f>
        <v>0</v>
      </c>
    </row>
    <row r="52" customFormat="false" ht="18" hidden="false" customHeight="true" outlineLevel="0" collapsed="false">
      <c r="A52" s="11" t="s">
        <v>199</v>
      </c>
      <c r="B52" s="86" t="n">
        <v>1133.6</v>
      </c>
      <c r="C52" s="86" t="n">
        <v>8673.07</v>
      </c>
      <c r="D52" s="86" t="n">
        <f aca="false">B52+C52</f>
        <v>9806.67</v>
      </c>
      <c r="E52" s="87" t="n">
        <f aca="false">IF(B$7=0,"-",B52/B$7)</f>
        <v>0.00703120818125978</v>
      </c>
    </row>
    <row r="53" customFormat="false" ht="18" hidden="false" customHeight="true" outlineLevel="0" collapsed="false">
      <c r="A53" s="11" t="s">
        <v>200</v>
      </c>
      <c r="B53" s="86" t="n">
        <v>15168.81</v>
      </c>
      <c r="C53" s="86" t="n">
        <v>7527.52</v>
      </c>
      <c r="D53" s="86" t="n">
        <f aca="false">B53+C53</f>
        <v>22696.33</v>
      </c>
      <c r="E53" s="87" t="n">
        <f aca="false">IF(B$7=0,"-",B53/B$7)</f>
        <v>0.0940852690296182</v>
      </c>
    </row>
    <row r="54" customFormat="false" ht="18" hidden="false" customHeight="true" outlineLevel="0" collapsed="false">
      <c r="A54" s="76" t="s">
        <v>201</v>
      </c>
      <c r="B54" s="77" t="n">
        <v>415297.48</v>
      </c>
      <c r="C54" s="77" t="n">
        <v>40625.58</v>
      </c>
      <c r="D54" s="77" t="n">
        <f aca="false">B54+C54</f>
        <v>455923.06</v>
      </c>
      <c r="E54" s="88" t="n">
        <f aca="false">IF(B$7=0,"-",B54/B$7)</f>
        <v>2.57590246915364</v>
      </c>
    </row>
    <row r="55" customFormat="false" ht="18" hidden="false" customHeight="true" outlineLevel="0" collapsed="false">
      <c r="A55" s="92" t="s">
        <v>202</v>
      </c>
      <c r="B55" s="93" t="n">
        <v>159927.95</v>
      </c>
      <c r="C55" s="93" t="n">
        <v>78145.77</v>
      </c>
      <c r="D55" s="93" t="n">
        <f aca="false">B55+C55</f>
        <v>238073.72</v>
      </c>
      <c r="E55" s="94" t="n">
        <f aca="false">IF(B$7=0,"-",B55/B$7)</f>
        <v>0.991960753750975</v>
      </c>
    </row>
    <row r="57" customFormat="false" ht="15" hidden="false" customHeight="true" outlineLevel="0" collapsed="false">
      <c r="A57" s="75" t="s">
        <v>203</v>
      </c>
      <c r="B57" s="75"/>
      <c r="C57" s="75"/>
      <c r="D57" s="75"/>
      <c r="E57" s="75"/>
    </row>
    <row r="58" customFormat="false" ht="18" hidden="false" customHeight="true" outlineLevel="0" collapsed="false">
      <c r="A58" s="11" t="s">
        <v>204</v>
      </c>
      <c r="B58" s="86" t="n">
        <v>-50146.67</v>
      </c>
      <c r="C58" s="86" t="n">
        <v>0</v>
      </c>
      <c r="D58" s="86" t="n">
        <f aca="false">B58+C58</f>
        <v>-50146.67</v>
      </c>
      <c r="E58" s="87" t="n">
        <f aca="false">IF(B$7=0,"-",B58/B$7)</f>
        <v>-0.311037117472596</v>
      </c>
    </row>
    <row r="59" customFormat="false" ht="18" hidden="false" customHeight="true" outlineLevel="0" collapsed="false">
      <c r="A59" s="11" t="s">
        <v>205</v>
      </c>
      <c r="B59" s="86" t="n">
        <v>-14541.65</v>
      </c>
      <c r="C59" s="86" t="n">
        <v>0</v>
      </c>
      <c r="D59" s="86" t="n">
        <f aca="false">B59+C59</f>
        <v>-14541.65</v>
      </c>
      <c r="E59" s="87" t="n">
        <f aca="false">IF(B$7=0,"-",B59/B$7)</f>
        <v>-0.090195279154037</v>
      </c>
    </row>
    <row r="60" customFormat="false" ht="18" hidden="false" customHeight="true" outlineLevel="0" collapsed="false">
      <c r="A60" s="11" t="s">
        <v>206</v>
      </c>
      <c r="B60" s="86" t="n">
        <v>0</v>
      </c>
      <c r="C60" s="86" t="n">
        <v>199.84</v>
      </c>
      <c r="D60" s="86" t="n">
        <f aca="false">B60+C60</f>
        <v>199.84</v>
      </c>
      <c r="E60" s="87" t="n">
        <f aca="false">IF(B$7=0,"-",B60/B$7)</f>
        <v>0</v>
      </c>
    </row>
    <row r="61" customFormat="false" ht="18" hidden="false" customHeight="true" outlineLevel="0" collapsed="false">
      <c r="A61" s="11" t="s">
        <v>207</v>
      </c>
      <c r="B61" s="86" t="n">
        <v>23.7</v>
      </c>
      <c r="C61" s="86" t="n">
        <v>0</v>
      </c>
      <c r="D61" s="86" t="n">
        <f aca="false">B61+C61</f>
        <v>23.7</v>
      </c>
      <c r="E61" s="87" t="n">
        <f aca="false">IF(B$7=0,"-",B61/B$7)</f>
        <v>0.000147000382759224</v>
      </c>
    </row>
    <row r="62" customFormat="false" ht="18" hidden="false" customHeight="true" outlineLevel="0" collapsed="false">
      <c r="A62" s="76" t="s">
        <v>208</v>
      </c>
      <c r="B62" s="77" t="n">
        <v>-64664.62</v>
      </c>
      <c r="C62" s="77" t="n">
        <v>199.84</v>
      </c>
      <c r="D62" s="77" t="n">
        <f aca="false">B62+C62</f>
        <v>-64464.78</v>
      </c>
      <c r="E62" s="88" t="n">
        <f aca="false">IF(B$7=0,"-",B62/B$7)</f>
        <v>-0.401085396243874</v>
      </c>
    </row>
    <row r="63" customFormat="false" ht="18" hidden="false" customHeight="true" outlineLevel="0" collapsed="false">
      <c r="A63" s="89" t="s">
        <v>209</v>
      </c>
      <c r="B63" s="90" t="n">
        <v>95263.33</v>
      </c>
      <c r="C63" s="90" t="n">
        <v>78345.61</v>
      </c>
      <c r="D63" s="90" t="n">
        <f aca="false">B63+C63</f>
        <v>173608.94</v>
      </c>
      <c r="E63" s="91" t="n">
        <f aca="false">IF(B$7=0,"-",B63/B$7)</f>
        <v>0.590875357507102</v>
      </c>
    </row>
  </sheetData>
  <mergeCells count="6">
    <mergeCell ref="A1:E1"/>
    <mergeCell ref="A2:E2"/>
    <mergeCell ref="A6:E6"/>
    <mergeCell ref="A30:E30"/>
    <mergeCell ref="A39:E39"/>
    <mergeCell ref="A57:E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68" width="38"/>
    <col collapsed="false" customWidth="true" hidden="false" outlineLevel="0" max="4" min="2" style="68" width="18"/>
  </cols>
  <sheetData>
    <row r="1" customFormat="false" ht="36" hidden="false" customHeight="true" outlineLevel="0" collapsed="false">
      <c r="A1" s="83" t="s">
        <v>210</v>
      </c>
      <c r="B1" s="83"/>
      <c r="C1" s="83"/>
      <c r="D1" s="83"/>
    </row>
    <row r="2" customFormat="false" ht="18" hidden="false" customHeight="true" outlineLevel="0" collapsed="false">
      <c r="A2" s="84" t="s">
        <v>211</v>
      </c>
      <c r="B2" s="84"/>
      <c r="C2" s="84"/>
      <c r="D2" s="84"/>
    </row>
    <row r="4" customFormat="false" ht="30" hidden="false" customHeight="true" outlineLevel="0" collapsed="false">
      <c r="A4" s="71" t="s">
        <v>150</v>
      </c>
      <c r="B4" s="72" t="s">
        <v>151</v>
      </c>
      <c r="C4" s="73" t="s">
        <v>152</v>
      </c>
      <c r="D4" s="74" t="s">
        <v>153</v>
      </c>
    </row>
    <row r="6" customFormat="false" ht="15" hidden="false" customHeight="true" outlineLevel="0" collapsed="false">
      <c r="A6" s="75" t="s">
        <v>212</v>
      </c>
      <c r="B6" s="75"/>
      <c r="C6" s="75"/>
      <c r="D6" s="75"/>
    </row>
    <row r="7" customFormat="false" ht="15" hidden="false" customHeight="true" outlineLevel="0" collapsed="false">
      <c r="A7" s="95" t="s">
        <v>213</v>
      </c>
      <c r="B7" s="95"/>
      <c r="C7" s="95"/>
      <c r="D7" s="95"/>
    </row>
    <row r="8" customFormat="false" ht="18" hidden="false" customHeight="true" outlineLevel="0" collapsed="false">
      <c r="A8" s="78" t="s">
        <v>214</v>
      </c>
      <c r="B8" s="86" t="n">
        <v>99075.76</v>
      </c>
      <c r="C8" s="86" t="n">
        <v>978217.76</v>
      </c>
      <c r="D8" s="86" t="n">
        <f aca="false">B8+C8</f>
        <v>1077293.52</v>
      </c>
    </row>
    <row r="9" customFormat="false" ht="18" hidden="false" customHeight="true" outlineLevel="0" collapsed="false">
      <c r="A9" s="78" t="s">
        <v>215</v>
      </c>
      <c r="B9" s="86" t="n">
        <v>4001.21</v>
      </c>
      <c r="C9" s="86" t="n">
        <v>7011.29</v>
      </c>
      <c r="D9" s="86" t="n">
        <f aca="false">B9+C9</f>
        <v>11012.5</v>
      </c>
    </row>
    <row r="10" customFormat="false" ht="18" hidden="false" customHeight="true" outlineLevel="0" collapsed="false">
      <c r="A10" s="78" t="s">
        <v>216</v>
      </c>
      <c r="B10" s="86" t="n">
        <v>25500.69</v>
      </c>
      <c r="C10" s="86" t="n">
        <v>30052.61</v>
      </c>
      <c r="D10" s="86" t="n">
        <f aca="false">B10+C10</f>
        <v>55553.3</v>
      </c>
    </row>
    <row r="11" customFormat="false" ht="18" hidden="false" customHeight="true" outlineLevel="0" collapsed="false">
      <c r="A11" s="78" t="s">
        <v>217</v>
      </c>
      <c r="B11" s="86" t="n">
        <v>38508.75</v>
      </c>
      <c r="C11" s="86" t="n">
        <v>0</v>
      </c>
      <c r="D11" s="86" t="n">
        <f aca="false">B11+C11</f>
        <v>38508.75</v>
      </c>
    </row>
    <row r="12" customFormat="false" ht="18" hidden="false" customHeight="true" outlineLevel="0" collapsed="false">
      <c r="A12" s="78" t="s">
        <v>218</v>
      </c>
      <c r="B12" s="86" t="n">
        <v>13667.11</v>
      </c>
      <c r="C12" s="86" t="n">
        <v>0</v>
      </c>
      <c r="D12" s="86" t="n">
        <f aca="false">B12+C12</f>
        <v>13667.11</v>
      </c>
    </row>
    <row r="13" customFormat="false" ht="18" hidden="false" customHeight="true" outlineLevel="0" collapsed="false">
      <c r="A13" s="78" t="s">
        <v>219</v>
      </c>
      <c r="B13" s="86" t="n">
        <v>142769.64</v>
      </c>
      <c r="C13" s="86" t="n">
        <v>0</v>
      </c>
      <c r="D13" s="86" t="n">
        <f aca="false">B13+C13</f>
        <v>142769.64</v>
      </c>
    </row>
    <row r="14" customFormat="false" ht="18" hidden="false" customHeight="true" outlineLevel="0" collapsed="false">
      <c r="A14" s="76" t="s">
        <v>220</v>
      </c>
      <c r="B14" s="77" t="n">
        <v>323523.16</v>
      </c>
      <c r="C14" s="77" t="n">
        <v>1015281.66</v>
      </c>
      <c r="D14" s="77" t="n">
        <f aca="false">B14+C14</f>
        <v>1338804.82</v>
      </c>
    </row>
    <row r="15" customFormat="false" ht="15" hidden="false" customHeight="true" outlineLevel="0" collapsed="false">
      <c r="A15" s="95" t="s">
        <v>221</v>
      </c>
      <c r="B15" s="95"/>
      <c r="C15" s="95"/>
      <c r="D15" s="95"/>
    </row>
    <row r="16" customFormat="false" ht="18" hidden="false" customHeight="true" outlineLevel="0" collapsed="false">
      <c r="A16" s="78" t="s">
        <v>222</v>
      </c>
      <c r="B16" s="86" t="n">
        <v>492789.27</v>
      </c>
      <c r="C16" s="86" t="n">
        <v>117689.15</v>
      </c>
      <c r="D16" s="86" t="n">
        <f aca="false">B16+C16</f>
        <v>610478.42</v>
      </c>
    </row>
    <row r="17" customFormat="false" ht="18" hidden="false" customHeight="true" outlineLevel="0" collapsed="false">
      <c r="A17" s="78" t="s">
        <v>223</v>
      </c>
      <c r="B17" s="86" t="n">
        <v>697436.41</v>
      </c>
      <c r="C17" s="86" t="n">
        <v>392462.37</v>
      </c>
      <c r="D17" s="86" t="n">
        <f aca="false">B17+C17</f>
        <v>1089898.78</v>
      </c>
    </row>
    <row r="18" customFormat="false" ht="18" hidden="false" customHeight="true" outlineLevel="0" collapsed="false">
      <c r="A18" s="78" t="s">
        <v>224</v>
      </c>
      <c r="B18" s="86" t="n">
        <v>171104.04</v>
      </c>
      <c r="C18" s="86" t="n">
        <v>219124.31</v>
      </c>
      <c r="D18" s="86" t="n">
        <f aca="false">B18+C18</f>
        <v>390228.35</v>
      </c>
    </row>
    <row r="19" customFormat="false" ht="18" hidden="false" customHeight="true" outlineLevel="0" collapsed="false">
      <c r="A19" s="78" t="s">
        <v>225</v>
      </c>
      <c r="B19" s="86" t="n">
        <v>-289486</v>
      </c>
      <c r="C19" s="86" t="n">
        <v>0</v>
      </c>
      <c r="D19" s="86" t="n">
        <f aca="false">B19+C19</f>
        <v>-289486</v>
      </c>
    </row>
    <row r="20" customFormat="false" ht="18" hidden="false" customHeight="true" outlineLevel="0" collapsed="false">
      <c r="A20" s="76" t="s">
        <v>226</v>
      </c>
      <c r="B20" s="77" t="n">
        <v>1071843.72</v>
      </c>
      <c r="C20" s="77" t="n">
        <v>729275.83</v>
      </c>
      <c r="D20" s="77" t="n">
        <f aca="false">B20+C20</f>
        <v>1801119.55</v>
      </c>
    </row>
    <row r="21" customFormat="false" ht="18" hidden="false" customHeight="true" outlineLevel="0" collapsed="false">
      <c r="A21" s="78" t="s">
        <v>227</v>
      </c>
      <c r="B21" s="86" t="n">
        <v>99689.42</v>
      </c>
      <c r="C21" s="86" t="n">
        <v>0</v>
      </c>
      <c r="D21" s="86" t="n">
        <f aca="false">B21+C21</f>
        <v>99689.42</v>
      </c>
    </row>
    <row r="22" customFormat="false" ht="18" hidden="false" customHeight="true" outlineLevel="0" collapsed="false">
      <c r="A22" s="89" t="s">
        <v>228</v>
      </c>
      <c r="B22" s="90" t="n">
        <v>1495056.3</v>
      </c>
      <c r="C22" s="90" t="n">
        <v>1744557.49</v>
      </c>
      <c r="D22" s="90" t="n">
        <f aca="false">B22+C22</f>
        <v>3239613.79</v>
      </c>
    </row>
    <row r="24" customFormat="false" ht="15" hidden="false" customHeight="true" outlineLevel="0" collapsed="false">
      <c r="A24" s="75" t="s">
        <v>229</v>
      </c>
      <c r="B24" s="75"/>
      <c r="C24" s="75"/>
      <c r="D24" s="75"/>
    </row>
    <row r="25" customFormat="false" ht="15" hidden="false" customHeight="true" outlineLevel="0" collapsed="false">
      <c r="A25" s="95" t="s">
        <v>230</v>
      </c>
      <c r="B25" s="95"/>
      <c r="C25" s="95"/>
      <c r="D25" s="95"/>
    </row>
    <row r="26" customFormat="false" ht="18" hidden="false" customHeight="true" outlineLevel="0" collapsed="false">
      <c r="A26" s="78" t="s">
        <v>231</v>
      </c>
      <c r="B26" s="86" t="n">
        <v>48416.31</v>
      </c>
      <c r="C26" s="86" t="n">
        <v>20440.09</v>
      </c>
      <c r="D26" s="86" t="n">
        <f aca="false">B26+C26</f>
        <v>68856.4</v>
      </c>
    </row>
    <row r="27" customFormat="false" ht="18" hidden="false" customHeight="true" outlineLevel="0" collapsed="false">
      <c r="A27" s="78" t="s">
        <v>232</v>
      </c>
      <c r="B27" s="86" t="n">
        <v>96487.86</v>
      </c>
      <c r="C27" s="86" t="n">
        <v>14212.37</v>
      </c>
      <c r="D27" s="86" t="n">
        <f aca="false">B27+C27</f>
        <v>110700.23</v>
      </c>
    </row>
    <row r="28" customFormat="false" ht="18" hidden="false" customHeight="true" outlineLevel="0" collapsed="false">
      <c r="A28" s="78" t="s">
        <v>233</v>
      </c>
      <c r="B28" s="86" t="n">
        <v>85934.51</v>
      </c>
      <c r="C28" s="86" t="n">
        <v>0</v>
      </c>
      <c r="D28" s="86" t="n">
        <f aca="false">B28+C28</f>
        <v>85934.51</v>
      </c>
    </row>
    <row r="29" customFormat="false" ht="18" hidden="false" customHeight="true" outlineLevel="0" collapsed="false">
      <c r="A29" s="78" t="s">
        <v>234</v>
      </c>
      <c r="B29" s="86" t="n">
        <v>15265.7</v>
      </c>
      <c r="C29" s="86" t="n">
        <v>-1378.67</v>
      </c>
      <c r="D29" s="86" t="n">
        <f aca="false">B29+C29</f>
        <v>13887.03</v>
      </c>
    </row>
    <row r="30" customFormat="false" ht="18" hidden="false" customHeight="true" outlineLevel="0" collapsed="false">
      <c r="A30" s="78" t="s">
        <v>235</v>
      </c>
      <c r="B30" s="86" t="n">
        <v>9580.63</v>
      </c>
      <c r="C30" s="86" t="n">
        <v>-3996.8</v>
      </c>
      <c r="D30" s="86" t="n">
        <f aca="false">B30+C30</f>
        <v>5583.83</v>
      </c>
    </row>
    <row r="31" customFormat="false" ht="18" hidden="false" customHeight="true" outlineLevel="0" collapsed="false">
      <c r="A31" s="78" t="s">
        <v>236</v>
      </c>
      <c r="B31" s="86" t="n">
        <v>178.6</v>
      </c>
      <c r="C31" s="86" t="n">
        <v>-8713.58</v>
      </c>
      <c r="D31" s="86" t="n">
        <f aca="false">B31+C31</f>
        <v>-8534.98</v>
      </c>
    </row>
    <row r="32" customFormat="false" ht="18" hidden="false" customHeight="true" outlineLevel="0" collapsed="false">
      <c r="A32" s="76" t="s">
        <v>237</v>
      </c>
      <c r="B32" s="77" t="n">
        <v>255863.61</v>
      </c>
      <c r="C32" s="77" t="n">
        <v>20563.41</v>
      </c>
      <c r="D32" s="77" t="n">
        <f aca="false">B32+C32</f>
        <v>276427.02</v>
      </c>
    </row>
    <row r="33" customFormat="false" ht="18" hidden="false" customHeight="true" outlineLevel="0" collapsed="false">
      <c r="A33" s="78" t="s">
        <v>238</v>
      </c>
      <c r="B33" s="86" t="n">
        <v>1056823.88</v>
      </c>
      <c r="C33" s="86" t="n">
        <v>0</v>
      </c>
      <c r="D33" s="86" t="n">
        <f aca="false">B33+C33</f>
        <v>1056823.88</v>
      </c>
    </row>
    <row r="34" customFormat="false" ht="18" hidden="false" customHeight="true" outlineLevel="0" collapsed="false">
      <c r="A34" s="78" t="s">
        <v>239</v>
      </c>
      <c r="B34" s="86" t="n">
        <v>88403.77</v>
      </c>
      <c r="C34" s="86" t="n">
        <v>0</v>
      </c>
      <c r="D34" s="86" t="n">
        <f aca="false">B34+C34</f>
        <v>88403.77</v>
      </c>
    </row>
    <row r="35" customFormat="false" ht="18" hidden="false" customHeight="true" outlineLevel="0" collapsed="false">
      <c r="A35" s="78" t="s">
        <v>240</v>
      </c>
      <c r="B35" s="86" t="n">
        <v>53885.68</v>
      </c>
      <c r="C35" s="86" t="n">
        <v>0</v>
      </c>
      <c r="D35" s="86" t="n">
        <f aca="false">B35+C35</f>
        <v>53885.68</v>
      </c>
    </row>
    <row r="36" customFormat="false" ht="18" hidden="false" customHeight="true" outlineLevel="0" collapsed="false">
      <c r="A36" s="78" t="s">
        <v>241</v>
      </c>
      <c r="B36" s="86" t="n">
        <v>59048.05</v>
      </c>
      <c r="C36" s="86" t="n">
        <v>0</v>
      </c>
      <c r="D36" s="86" t="n">
        <f aca="false">B36+C36</f>
        <v>59048.05</v>
      </c>
    </row>
    <row r="37" customFormat="false" ht="18" hidden="false" customHeight="true" outlineLevel="0" collapsed="false">
      <c r="A37" s="78" t="s">
        <v>242</v>
      </c>
      <c r="B37" s="86" t="n">
        <v>20710.97</v>
      </c>
      <c r="C37" s="86" t="n">
        <v>0</v>
      </c>
      <c r="D37" s="86" t="n">
        <f aca="false">B37+C37</f>
        <v>20710.97</v>
      </c>
    </row>
    <row r="38" customFormat="false" ht="18" hidden="false" customHeight="true" outlineLevel="0" collapsed="false">
      <c r="A38" s="78" t="s">
        <v>243</v>
      </c>
      <c r="B38" s="86" t="n">
        <v>29235</v>
      </c>
      <c r="C38" s="86" t="n">
        <v>0</v>
      </c>
      <c r="D38" s="86" t="n">
        <f aca="false">B38+C38</f>
        <v>29235</v>
      </c>
    </row>
    <row r="39" customFormat="false" ht="18" hidden="false" customHeight="true" outlineLevel="0" collapsed="false">
      <c r="A39" s="76" t="s">
        <v>244</v>
      </c>
      <c r="B39" s="77" t="n">
        <v>1308107.35</v>
      </c>
      <c r="C39" s="77" t="n">
        <v>0</v>
      </c>
      <c r="D39" s="77" t="n">
        <f aca="false">B39+C39</f>
        <v>1308107.35</v>
      </c>
    </row>
    <row r="40" customFormat="false" ht="18" hidden="false" customHeight="true" outlineLevel="0" collapsed="false">
      <c r="A40" s="89" t="s">
        <v>245</v>
      </c>
      <c r="B40" s="90" t="n">
        <v>1563970.96</v>
      </c>
      <c r="C40" s="90" t="n">
        <v>20563.41</v>
      </c>
      <c r="D40" s="90" t="n">
        <f aca="false">B40+C40</f>
        <v>1584534.37</v>
      </c>
    </row>
    <row r="42" customFormat="false" ht="15" hidden="false" customHeight="true" outlineLevel="0" collapsed="false">
      <c r="A42" s="75" t="s">
        <v>246</v>
      </c>
      <c r="B42" s="75"/>
      <c r="C42" s="75"/>
      <c r="D42" s="75"/>
    </row>
    <row r="43" customFormat="false" ht="18" hidden="false" customHeight="true" outlineLevel="0" collapsed="false">
      <c r="A43" s="78" t="s">
        <v>247</v>
      </c>
      <c r="B43" s="86" t="n">
        <v>-810184.41</v>
      </c>
      <c r="C43" s="86" t="n">
        <v>-4351.53</v>
      </c>
      <c r="D43" s="86" t="n">
        <f aca="false">B43+C43</f>
        <v>-814535.94</v>
      </c>
    </row>
    <row r="44" customFormat="false" ht="18" hidden="false" customHeight="true" outlineLevel="0" collapsed="false">
      <c r="A44" s="78" t="s">
        <v>248</v>
      </c>
      <c r="B44" s="86" t="n">
        <v>525055</v>
      </c>
      <c r="C44" s="86" t="n">
        <v>1650000</v>
      </c>
      <c r="D44" s="86" t="n">
        <f aca="false">B44+C44</f>
        <v>2175055</v>
      </c>
    </row>
    <row r="45" customFormat="false" ht="18" hidden="false" customHeight="true" outlineLevel="0" collapsed="false">
      <c r="A45" s="78" t="s">
        <v>249</v>
      </c>
      <c r="B45" s="86" t="n">
        <v>216214.75</v>
      </c>
      <c r="C45" s="86" t="n">
        <v>78345.61</v>
      </c>
      <c r="D45" s="86" t="n">
        <f aca="false">B45+C45</f>
        <v>294560.36</v>
      </c>
    </row>
    <row r="46" customFormat="false" ht="18" hidden="false" customHeight="true" outlineLevel="0" collapsed="false">
      <c r="A46" s="92" t="s">
        <v>250</v>
      </c>
      <c r="B46" s="93" t="n">
        <v>-68914.66</v>
      </c>
      <c r="C46" s="93" t="n">
        <v>1723994.08</v>
      </c>
      <c r="D46" s="93" t="n">
        <f aca="false">B46+C46</f>
        <v>1655079.42</v>
      </c>
    </row>
  </sheetData>
  <mergeCells count="8">
    <mergeCell ref="A1:D1"/>
    <mergeCell ref="A2:D2"/>
    <mergeCell ref="A6:D6"/>
    <mergeCell ref="A7:D7"/>
    <mergeCell ref="A15:D15"/>
    <mergeCell ref="A24:D24"/>
    <mergeCell ref="A25:D25"/>
    <mergeCell ref="A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68" width="48"/>
    <col collapsed="false" customWidth="true" hidden="false" outlineLevel="0" max="2" min="2" style="68" width="20"/>
  </cols>
  <sheetData>
    <row r="1" customFormat="false" ht="36" hidden="false" customHeight="true" outlineLevel="0" collapsed="false">
      <c r="A1" s="96" t="s">
        <v>251</v>
      </c>
      <c r="B1" s="96"/>
    </row>
    <row r="2" customFormat="false" ht="18" hidden="false" customHeight="true" outlineLevel="0" collapsed="false">
      <c r="A2" s="97" t="s">
        <v>252</v>
      </c>
      <c r="B2" s="97"/>
    </row>
    <row r="4" customFormat="false" ht="30" hidden="false" customHeight="true" outlineLevel="0" collapsed="false">
      <c r="A4" s="71" t="s">
        <v>150</v>
      </c>
      <c r="B4" s="72" t="s">
        <v>253</v>
      </c>
    </row>
    <row r="5" customFormat="false" ht="18" hidden="false" customHeight="true" outlineLevel="0" collapsed="false">
      <c r="A5" s="75" t="s">
        <v>254</v>
      </c>
      <c r="B5" s="75"/>
    </row>
    <row r="6" customFormat="false" ht="18" hidden="false" customHeight="true" outlineLevel="0" collapsed="false">
      <c r="A6" s="98" t="s">
        <v>128</v>
      </c>
      <c r="B6" s="79" t="n">
        <v>95263.33</v>
      </c>
    </row>
    <row r="7" customFormat="false" ht="18" hidden="false" customHeight="true" outlineLevel="0" collapsed="false">
      <c r="A7" s="99" t="s">
        <v>255</v>
      </c>
    </row>
    <row r="8" customFormat="false" ht="18" hidden="false" customHeight="true" outlineLevel="0" collapsed="false">
      <c r="A8" s="98" t="s">
        <v>256</v>
      </c>
      <c r="B8" s="79" t="n">
        <v>20192.79</v>
      </c>
    </row>
    <row r="9" customFormat="false" ht="18" hidden="false" customHeight="true" outlineLevel="0" collapsed="false">
      <c r="A9" s="98" t="s">
        <v>257</v>
      </c>
      <c r="B9" s="79" t="n">
        <v>-172.29</v>
      </c>
    </row>
    <row r="10" customFormat="false" ht="18" hidden="false" customHeight="true" outlineLevel="0" collapsed="false">
      <c r="A10" s="98" t="s">
        <v>258</v>
      </c>
      <c r="B10" s="79" t="n">
        <v>-161.89</v>
      </c>
    </row>
    <row r="11" customFormat="false" ht="18" hidden="false" customHeight="true" outlineLevel="0" collapsed="false">
      <c r="A11" s="98" t="s">
        <v>259</v>
      </c>
      <c r="B11" s="79" t="n">
        <v>1765.22</v>
      </c>
    </row>
    <row r="12" customFormat="false" ht="18" hidden="false" customHeight="true" outlineLevel="0" collapsed="false">
      <c r="A12" s="98" t="s">
        <v>260</v>
      </c>
      <c r="B12" s="79" t="n">
        <v>-1156.59</v>
      </c>
    </row>
    <row r="13" customFormat="false" ht="18" hidden="false" customHeight="true" outlineLevel="0" collapsed="false">
      <c r="A13" s="98" t="s">
        <v>261</v>
      </c>
      <c r="B13" s="79" t="n">
        <v>-286</v>
      </c>
    </row>
    <row r="14" customFormat="false" ht="18" hidden="false" customHeight="true" outlineLevel="0" collapsed="false">
      <c r="A14" s="98" t="s">
        <v>262</v>
      </c>
      <c r="B14" s="79" t="n">
        <v>-4185.66</v>
      </c>
    </row>
    <row r="15" customFormat="false" ht="18" hidden="false" customHeight="true" outlineLevel="0" collapsed="false">
      <c r="A15" s="98" t="s">
        <v>263</v>
      </c>
      <c r="B15" s="79" t="n">
        <v>106.76</v>
      </c>
    </row>
    <row r="16" customFormat="false" ht="18" hidden="false" customHeight="true" outlineLevel="0" collapsed="false">
      <c r="A16" s="98" t="s">
        <v>264</v>
      </c>
      <c r="B16" s="79" t="n">
        <v>-8042.34</v>
      </c>
    </row>
    <row r="17" customFormat="false" ht="18" hidden="false" customHeight="true" outlineLevel="0" collapsed="false">
      <c r="A17" s="98" t="s">
        <v>265</v>
      </c>
      <c r="B17" s="79" t="n">
        <v>-3986.67</v>
      </c>
    </row>
    <row r="18" customFormat="false" ht="18" hidden="false" customHeight="true" outlineLevel="0" collapsed="false">
      <c r="A18" s="98" t="s">
        <v>266</v>
      </c>
      <c r="B18" s="79" t="n">
        <v>-1216.49</v>
      </c>
    </row>
    <row r="19" customFormat="false" ht="18" hidden="false" customHeight="true" outlineLevel="0" collapsed="false">
      <c r="A19" s="98" t="s">
        <v>267</v>
      </c>
      <c r="B19" s="79" t="n">
        <v>25162.5</v>
      </c>
    </row>
    <row r="20" customFormat="false" ht="18" hidden="false" customHeight="true" outlineLevel="0" collapsed="false">
      <c r="A20" s="98" t="s">
        <v>268</v>
      </c>
      <c r="B20" s="79" t="n">
        <v>-19797.76</v>
      </c>
    </row>
    <row r="21" customFormat="false" ht="18" hidden="false" customHeight="true" outlineLevel="0" collapsed="false">
      <c r="A21" s="98" t="s">
        <v>269</v>
      </c>
      <c r="B21" s="79" t="n">
        <v>-11377.79</v>
      </c>
    </row>
    <row r="22" customFormat="false" ht="18" hidden="false" customHeight="true" outlineLevel="0" collapsed="false">
      <c r="A22" s="98" t="s">
        <v>270</v>
      </c>
      <c r="B22" s="79" t="n">
        <v>-1514.79</v>
      </c>
    </row>
    <row r="23" customFormat="false" ht="18" hidden="false" customHeight="true" outlineLevel="0" collapsed="false">
      <c r="A23" s="98" t="s">
        <v>271</v>
      </c>
      <c r="B23" s="79" t="n">
        <v>41.97</v>
      </c>
    </row>
    <row r="24" customFormat="false" ht="18" hidden="false" customHeight="true" outlineLevel="0" collapsed="false">
      <c r="A24" s="98" t="s">
        <v>272</v>
      </c>
      <c r="B24" s="79" t="n">
        <v>377.59</v>
      </c>
    </row>
    <row r="25" customFormat="false" ht="18" hidden="false" customHeight="true" outlineLevel="0" collapsed="false">
      <c r="A25" s="98" t="s">
        <v>273</v>
      </c>
      <c r="B25" s="79" t="n">
        <v>265</v>
      </c>
    </row>
    <row r="26" customFormat="false" ht="18" hidden="false" customHeight="true" outlineLevel="0" collapsed="false">
      <c r="A26" s="98" t="s">
        <v>274</v>
      </c>
      <c r="B26" s="79" t="n">
        <v>7378.85</v>
      </c>
    </row>
    <row r="27" customFormat="false" ht="18" hidden="false" customHeight="true" outlineLevel="0" collapsed="false">
      <c r="A27" s="98" t="s">
        <v>275</v>
      </c>
      <c r="B27" s="79" t="n">
        <v>637.5</v>
      </c>
    </row>
    <row r="28" customFormat="false" ht="18" hidden="false" customHeight="true" outlineLevel="0" collapsed="false">
      <c r="A28" s="98" t="s">
        <v>276</v>
      </c>
      <c r="B28" s="79" t="n">
        <v>14541.65</v>
      </c>
    </row>
    <row r="29" customFormat="false" ht="18" hidden="false" customHeight="true" outlineLevel="0" collapsed="false">
      <c r="A29" s="98" t="s">
        <v>277</v>
      </c>
      <c r="B29" s="79" t="n">
        <v>2290.07</v>
      </c>
    </row>
    <row r="30" customFormat="false" ht="18" hidden="false" customHeight="true" outlineLevel="0" collapsed="false">
      <c r="A30" s="76" t="s">
        <v>278</v>
      </c>
      <c r="B30" s="77" t="n">
        <v>116124.96</v>
      </c>
    </row>
    <row r="32" customFormat="false" ht="18" hidden="false" customHeight="true" outlineLevel="0" collapsed="false">
      <c r="A32" s="75" t="s">
        <v>279</v>
      </c>
      <c r="B32" s="75"/>
    </row>
    <row r="33" customFormat="false" ht="18" hidden="false" customHeight="true" outlineLevel="0" collapsed="false">
      <c r="A33" s="98" t="s">
        <v>280</v>
      </c>
      <c r="B33" s="79" t="n">
        <v>-26803</v>
      </c>
    </row>
    <row r="34" customFormat="false" ht="18" hidden="false" customHeight="true" outlineLevel="0" collapsed="false">
      <c r="A34" s="76" t="s">
        <v>281</v>
      </c>
      <c r="B34" s="77" t="n">
        <v>-26803</v>
      </c>
    </row>
    <row r="36" customFormat="false" ht="18" hidden="false" customHeight="true" outlineLevel="0" collapsed="false">
      <c r="A36" s="75" t="s">
        <v>282</v>
      </c>
      <c r="B36" s="75"/>
    </row>
    <row r="37" customFormat="false" ht="18" hidden="false" customHeight="true" outlineLevel="0" collapsed="false">
      <c r="A37" s="98" t="s">
        <v>283</v>
      </c>
      <c r="B37" s="79" t="n">
        <v>-10400</v>
      </c>
    </row>
    <row r="38" customFormat="false" ht="18" hidden="false" customHeight="true" outlineLevel="0" collapsed="false">
      <c r="A38" s="98" t="s">
        <v>284</v>
      </c>
      <c r="B38" s="79" t="n">
        <v>-21440</v>
      </c>
    </row>
    <row r="39" customFormat="false" ht="18" hidden="false" customHeight="true" outlineLevel="0" collapsed="false">
      <c r="A39" s="98" t="s">
        <v>285</v>
      </c>
      <c r="B39" s="79" t="n">
        <v>-12725.1</v>
      </c>
    </row>
    <row r="40" customFormat="false" ht="18" hidden="false" customHeight="true" outlineLevel="0" collapsed="false">
      <c r="A40" s="98" t="s">
        <v>286</v>
      </c>
      <c r="B40" s="79" t="n">
        <v>-33568.83</v>
      </c>
    </row>
    <row r="41" customFormat="false" ht="18" hidden="false" customHeight="true" outlineLevel="0" collapsed="false">
      <c r="A41" s="98" t="s">
        <v>287</v>
      </c>
      <c r="B41" s="79" t="n">
        <v>-16002.45</v>
      </c>
    </row>
    <row r="42" customFormat="false" ht="18" hidden="false" customHeight="true" outlineLevel="0" collapsed="false">
      <c r="A42" s="76" t="s">
        <v>288</v>
      </c>
      <c r="B42" s="77" t="n">
        <v>-94136.38</v>
      </c>
    </row>
    <row r="44" customFormat="false" ht="18" hidden="false" customHeight="true" outlineLevel="0" collapsed="false">
      <c r="A44" s="92" t="s">
        <v>289</v>
      </c>
      <c r="B44" s="93" t="n">
        <v>-4814.42</v>
      </c>
    </row>
    <row r="45" customFormat="false" ht="18" hidden="false" customHeight="true" outlineLevel="0" collapsed="false">
      <c r="A45" s="98" t="s">
        <v>290</v>
      </c>
      <c r="B45" s="79" t="n">
        <v>63480.2</v>
      </c>
    </row>
    <row r="46" customFormat="false" ht="18" hidden="false" customHeight="true" outlineLevel="0" collapsed="false">
      <c r="A46" s="92" t="s">
        <v>291</v>
      </c>
      <c r="B46" s="93" t="n">
        <v>58665.78</v>
      </c>
    </row>
  </sheetData>
  <mergeCells count="5">
    <mergeCell ref="A1:B1"/>
    <mergeCell ref="A2:B2"/>
    <mergeCell ref="A5:B5"/>
    <mergeCell ref="A32:B32"/>
    <mergeCell ref="A36:B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2026-03-28T18:42:04Z</dcterms:created>
  <dc:creator>openpyxl</dc:creator>
  <dc:description/>
  <dc:language>en-US</dc:language>
  <cp:lastModifiedBy/>
  <dcterms:modified xsi:type="dcterms:W3CDTF">2026-03-28T18:52:24Z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